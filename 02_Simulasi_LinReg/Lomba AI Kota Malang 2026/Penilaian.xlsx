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anik" sheetId="1" r:id="rId5"/>
    <sheet state="visible" name="je zack" sheetId="2" r:id="rId6"/>
  </sheets>
  <definedNames/>
  <calcPr/>
</workbook>
</file>

<file path=xl/sharedStrings.xml><?xml version="1.0" encoding="utf-8"?>
<sst xmlns="http://schemas.openxmlformats.org/spreadsheetml/2006/main" count="119" uniqueCount="47">
  <si>
    <t>Grup</t>
  </si>
  <si>
    <t>Nama Sekolah</t>
  </si>
  <si>
    <t>Modul A (20)</t>
  </si>
  <si>
    <t>Modul B (30)</t>
  </si>
  <si>
    <t>Modul C (20)</t>
  </si>
  <si>
    <t>Modul D (30)</t>
  </si>
  <si>
    <t>Juri 1</t>
  </si>
  <si>
    <t>Juri 2</t>
  </si>
  <si>
    <t>Total</t>
  </si>
  <si>
    <t>JUARA</t>
  </si>
  <si>
    <t>Catatan</t>
  </si>
  <si>
    <t>Identifikasi Fitur &amp; Label</t>
  </si>
  <si>
    <t>Handling Missing Data</t>
  </si>
  <si>
    <t>Preprocessing &amp; Normalisasi</t>
  </si>
  <si>
    <t>Dokumentasi</t>
  </si>
  <si>
    <t>Pemilihan Algoritma</t>
  </si>
  <si>
    <t>Pengetahuan Algoritma</t>
  </si>
  <si>
    <t>Implementasi Algoritma</t>
  </si>
  <si>
    <t>Penjelasan Model</t>
  </si>
  <si>
    <t>Hasil Model</t>
  </si>
  <si>
    <t>Dokumentasi Kode</t>
  </si>
  <si>
    <t>Metode Evaluasi</t>
  </si>
  <si>
    <t>Analisa Akurasi Model</t>
  </si>
  <si>
    <t>Analisis Hasil</t>
  </si>
  <si>
    <t>Perbaikan Model</t>
  </si>
  <si>
    <t>Integrasi Model</t>
  </si>
  <si>
    <t>Input Data Baru</t>
  </si>
  <si>
    <t>Output Prediksi</t>
  </si>
  <si>
    <t>User Interface</t>
  </si>
  <si>
    <t>User Experience</t>
  </si>
  <si>
    <t>Stabilitas Program</t>
  </si>
  <si>
    <t>SMK Telkom Malang</t>
  </si>
  <si>
    <t>Analisis bagus dengan sistem yang mendukung untuk prediksi disertai dengan penjelasan penguasaan algoritma</t>
  </si>
  <si>
    <t>SMKN 12 Malang</t>
  </si>
  <si>
    <t>Metode evaluasi yang sesuai, dengan sistem yang bisa menerima exception input</t>
  </si>
  <si>
    <t>SMKN 4 Malang</t>
  </si>
  <si>
    <t>Belum bisa Integrasi Model ke GUI dengan modifikasi klasifikasi menjadi 2 kelas baru</t>
  </si>
  <si>
    <t>SMKN 8 Malang</t>
  </si>
  <si>
    <t>Pengetahuan tentang analisis sangat membantu dalam menjelaskan permasalahan yang terjadi</t>
  </si>
  <si>
    <t>SMKN 9 Malang</t>
  </si>
  <si>
    <t>Tidak bisa mengimplementasikan model, Data Preparation dan EDA masih kurang</t>
  </si>
  <si>
    <t>MAN 2 Kota Malang</t>
  </si>
  <si>
    <t>Sudah bisa mengimplementasikan model tapi belum bisa melakukan optimasi maupun evaluasi tambahan</t>
  </si>
  <si>
    <t>SMK PGRI 3 Malang</t>
  </si>
  <si>
    <t>Bagus karena terdapat eksperimen, termasuk hybrid method</t>
  </si>
  <si>
    <t>Kejelasan Dokumentasi Kode</t>
  </si>
  <si>
    <t>Stabilitas Program (misal exception)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</si>
</sst>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b/>
      <color theme="1"/>
      <name val="Century Gothic"/>
    </font>
    <font/>
    <font>
      <color theme="1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3" fontId="3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5" fillId="5" fontId="3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5" fillId="7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5" fontId="3" numFmtId="164" xfId="0" applyAlignment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0"/>
    <col customWidth="1" min="2" max="2" width="17.38"/>
    <col customWidth="1" min="3" max="10" width="12.25"/>
    <col customWidth="1" min="11" max="22" width="11.13"/>
    <col customWidth="1" min="23" max="30" width="10.0"/>
    <col customWidth="1" min="31" max="32" width="8.25"/>
    <col customWidth="1" min="33" max="34" width="8.13"/>
    <col customWidth="1" min="35" max="36" width="7.75"/>
    <col customWidth="1" min="37" max="38" width="9.5"/>
    <col customWidth="1" min="39" max="40" width="9.0"/>
    <col customWidth="1" min="41" max="42" width="9.75"/>
    <col customWidth="1" min="43" max="43" width="7.63"/>
    <col customWidth="1" min="44" max="44" width="8.38"/>
    <col customWidth="1" min="45" max="45" width="10.25"/>
    <col customWidth="1" min="47" max="47" width="42.0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4"/>
      <c r="J1" s="5"/>
      <c r="K1" s="6" t="s">
        <v>3</v>
      </c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7" t="s">
        <v>4</v>
      </c>
      <c r="X1" s="3"/>
      <c r="Y1" s="3"/>
      <c r="Z1" s="3"/>
      <c r="AA1" s="3"/>
      <c r="AB1" s="3"/>
      <c r="AC1" s="3"/>
      <c r="AD1" s="4"/>
      <c r="AE1" s="8" t="s">
        <v>5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9" t="s">
        <v>6</v>
      </c>
      <c r="AR1" s="9" t="s">
        <v>7</v>
      </c>
      <c r="AS1" s="9" t="s">
        <v>8</v>
      </c>
      <c r="AT1" s="9" t="s">
        <v>9</v>
      </c>
      <c r="AU1" s="10" t="s">
        <v>10</v>
      </c>
      <c r="AV1" s="11"/>
      <c r="AW1" s="11"/>
      <c r="AX1" s="11"/>
    </row>
    <row r="2">
      <c r="A2" s="12"/>
      <c r="B2" s="12"/>
      <c r="C2" s="2" t="s">
        <v>11</v>
      </c>
      <c r="D2" s="4"/>
      <c r="E2" s="2" t="s">
        <v>12</v>
      </c>
      <c r="F2" s="4"/>
      <c r="G2" s="2" t="s">
        <v>13</v>
      </c>
      <c r="H2" s="4"/>
      <c r="I2" s="2" t="s">
        <v>14</v>
      </c>
      <c r="J2" s="4"/>
      <c r="K2" s="6" t="s">
        <v>15</v>
      </c>
      <c r="L2" s="4"/>
      <c r="M2" s="6" t="s">
        <v>16</v>
      </c>
      <c r="N2" s="4"/>
      <c r="O2" s="6" t="s">
        <v>17</v>
      </c>
      <c r="P2" s="4"/>
      <c r="Q2" s="6" t="s">
        <v>18</v>
      </c>
      <c r="R2" s="4"/>
      <c r="S2" s="6" t="s">
        <v>19</v>
      </c>
      <c r="T2" s="4"/>
      <c r="U2" s="6" t="s">
        <v>20</v>
      </c>
      <c r="V2" s="4"/>
      <c r="W2" s="7" t="s">
        <v>21</v>
      </c>
      <c r="X2" s="4"/>
      <c r="Y2" s="7" t="s">
        <v>22</v>
      </c>
      <c r="Z2" s="4"/>
      <c r="AA2" s="7" t="s">
        <v>23</v>
      </c>
      <c r="AB2" s="4"/>
      <c r="AC2" s="7" t="s">
        <v>24</v>
      </c>
      <c r="AD2" s="4"/>
      <c r="AE2" s="8" t="s">
        <v>25</v>
      </c>
      <c r="AF2" s="4"/>
      <c r="AG2" s="8" t="s">
        <v>26</v>
      </c>
      <c r="AH2" s="4"/>
      <c r="AI2" s="8" t="s">
        <v>27</v>
      </c>
      <c r="AJ2" s="4"/>
      <c r="AK2" s="8" t="s">
        <v>28</v>
      </c>
      <c r="AL2" s="4"/>
      <c r="AM2" s="8" t="s">
        <v>29</v>
      </c>
      <c r="AN2" s="4"/>
      <c r="AO2" s="8" t="s">
        <v>30</v>
      </c>
      <c r="AP2" s="4"/>
      <c r="AQ2" s="12"/>
      <c r="AR2" s="12"/>
      <c r="AS2" s="12"/>
      <c r="AT2" s="12"/>
      <c r="AU2" s="12"/>
      <c r="AV2" s="11"/>
      <c r="AW2" s="11"/>
      <c r="AX2" s="11"/>
    </row>
    <row r="3">
      <c r="A3" s="13"/>
      <c r="B3" s="13"/>
      <c r="C3" s="14" t="s">
        <v>6</v>
      </c>
      <c r="D3" s="14" t="s">
        <v>7</v>
      </c>
      <c r="E3" s="14" t="s">
        <v>6</v>
      </c>
      <c r="F3" s="14" t="s">
        <v>7</v>
      </c>
      <c r="G3" s="14" t="s">
        <v>6</v>
      </c>
      <c r="H3" s="14" t="s">
        <v>7</v>
      </c>
      <c r="I3" s="14" t="s">
        <v>6</v>
      </c>
      <c r="J3" s="14" t="s">
        <v>7</v>
      </c>
      <c r="K3" s="15" t="s">
        <v>6</v>
      </c>
      <c r="L3" s="15" t="s">
        <v>7</v>
      </c>
      <c r="M3" s="15" t="s">
        <v>6</v>
      </c>
      <c r="N3" s="15" t="s">
        <v>7</v>
      </c>
      <c r="O3" s="15" t="s">
        <v>6</v>
      </c>
      <c r="P3" s="15" t="s">
        <v>7</v>
      </c>
      <c r="Q3" s="15" t="s">
        <v>6</v>
      </c>
      <c r="R3" s="15" t="s">
        <v>7</v>
      </c>
      <c r="S3" s="15" t="s">
        <v>6</v>
      </c>
      <c r="T3" s="15" t="s">
        <v>7</v>
      </c>
      <c r="U3" s="15" t="s">
        <v>6</v>
      </c>
      <c r="V3" s="15" t="s">
        <v>7</v>
      </c>
      <c r="W3" s="16" t="s">
        <v>6</v>
      </c>
      <c r="X3" s="16" t="s">
        <v>7</v>
      </c>
      <c r="Y3" s="16" t="s">
        <v>6</v>
      </c>
      <c r="Z3" s="16" t="s">
        <v>7</v>
      </c>
      <c r="AA3" s="16" t="s">
        <v>6</v>
      </c>
      <c r="AB3" s="16" t="s">
        <v>7</v>
      </c>
      <c r="AC3" s="16" t="s">
        <v>6</v>
      </c>
      <c r="AD3" s="16" t="s">
        <v>7</v>
      </c>
      <c r="AE3" s="17" t="s">
        <v>6</v>
      </c>
      <c r="AF3" s="17" t="s">
        <v>7</v>
      </c>
      <c r="AG3" s="17" t="s">
        <v>6</v>
      </c>
      <c r="AH3" s="17" t="s">
        <v>7</v>
      </c>
      <c r="AI3" s="17" t="s">
        <v>6</v>
      </c>
      <c r="AJ3" s="17" t="s">
        <v>7</v>
      </c>
      <c r="AK3" s="17" t="s">
        <v>6</v>
      </c>
      <c r="AL3" s="17" t="s">
        <v>7</v>
      </c>
      <c r="AM3" s="17" t="s">
        <v>6</v>
      </c>
      <c r="AN3" s="17" t="s">
        <v>7</v>
      </c>
      <c r="AO3" s="17" t="s">
        <v>6</v>
      </c>
      <c r="AP3" s="17" t="s">
        <v>7</v>
      </c>
      <c r="AQ3" s="13"/>
      <c r="AR3" s="13"/>
      <c r="AS3" s="13"/>
      <c r="AT3" s="13"/>
      <c r="AU3" s="13"/>
      <c r="AV3" s="11"/>
      <c r="AW3" s="11"/>
      <c r="AX3" s="11"/>
    </row>
    <row r="4" ht="30.0" customHeight="1">
      <c r="A4" s="18">
        <v>1.0</v>
      </c>
      <c r="B4" s="19" t="s">
        <v>31</v>
      </c>
      <c r="C4" s="20">
        <v>4.0</v>
      </c>
      <c r="D4" s="20">
        <v>5.0</v>
      </c>
      <c r="E4" s="20">
        <v>5.0</v>
      </c>
      <c r="F4" s="20">
        <v>5.0</v>
      </c>
      <c r="G4" s="20">
        <v>5.0</v>
      </c>
      <c r="H4" s="20">
        <v>5.0</v>
      </c>
      <c r="I4" s="20">
        <v>4.0</v>
      </c>
      <c r="J4" s="20">
        <v>5.0</v>
      </c>
      <c r="K4" s="21">
        <v>5.0</v>
      </c>
      <c r="L4" s="21">
        <v>5.0</v>
      </c>
      <c r="M4" s="21">
        <v>4.0</v>
      </c>
      <c r="N4" s="21">
        <v>5.0</v>
      </c>
      <c r="O4" s="21">
        <v>4.0</v>
      </c>
      <c r="P4" s="21">
        <v>5.0</v>
      </c>
      <c r="Q4" s="21">
        <v>5.0</v>
      </c>
      <c r="R4" s="21">
        <v>5.0</v>
      </c>
      <c r="S4" s="21">
        <v>5.0</v>
      </c>
      <c r="T4" s="21">
        <v>4.0</v>
      </c>
      <c r="U4" s="21">
        <v>5.0</v>
      </c>
      <c r="V4" s="21">
        <v>5.0</v>
      </c>
      <c r="W4" s="22">
        <v>5.0</v>
      </c>
      <c r="X4" s="22">
        <v>5.0</v>
      </c>
      <c r="Y4" s="22">
        <v>5.0</v>
      </c>
      <c r="Z4" s="22">
        <v>4.0</v>
      </c>
      <c r="AA4" s="22">
        <v>5.0</v>
      </c>
      <c r="AB4" s="22">
        <v>5.0</v>
      </c>
      <c r="AC4" s="22">
        <v>4.0</v>
      </c>
      <c r="AD4" s="22">
        <v>4.0</v>
      </c>
      <c r="AE4" s="23">
        <v>4.0</v>
      </c>
      <c r="AF4" s="23">
        <v>5.0</v>
      </c>
      <c r="AG4" s="23">
        <v>5.0</v>
      </c>
      <c r="AH4" s="23">
        <v>5.0</v>
      </c>
      <c r="AI4" s="23">
        <v>4.0</v>
      </c>
      <c r="AJ4" s="23">
        <v>5.0</v>
      </c>
      <c r="AK4" s="23">
        <v>5.0</v>
      </c>
      <c r="AL4" s="23">
        <v>5.0</v>
      </c>
      <c r="AM4" s="23">
        <v>5.0</v>
      </c>
      <c r="AN4" s="23">
        <v>5.0</v>
      </c>
      <c r="AO4" s="23">
        <v>5.0</v>
      </c>
      <c r="AP4" s="23">
        <v>5.0</v>
      </c>
      <c r="AQ4" s="24">
        <f t="shared" ref="AQ4:AQ10" si="1">C4+E4+G4+I4+K4+M4+O4+Q4+S4+U4+W4+Y4+AA4+AC4+AE4+AG4+AI4+AK4+AM4+AO4</f>
        <v>93</v>
      </c>
      <c r="AR4" s="24">
        <f t="shared" ref="AR4:AR10" si="2">SUM(D4,F4,H4,J4,L4,N4,P4,R4,T4,V4,X4,Z4,AB4,AD4,AF4,AH4,AJ4,AL4,AN4,AP4)</f>
        <v>97</v>
      </c>
      <c r="AS4" s="24">
        <f t="shared" ref="AS4:AS10" si="3">sum(C4:AP4)/2</f>
        <v>95</v>
      </c>
      <c r="AT4" s="24" t="str">
        <f t="shared" ref="AT4:AT10" si="4">"Juara "&amp;RANK(AS4,$AS$4:$AS$10,0)</f>
        <v>Juara 1</v>
      </c>
      <c r="AU4" s="25" t="s">
        <v>32</v>
      </c>
      <c r="AV4" s="26"/>
      <c r="AW4" s="26"/>
      <c r="AX4" s="26"/>
    </row>
    <row r="5" ht="30.0" customHeight="1">
      <c r="A5" s="18">
        <v>2.0</v>
      </c>
      <c r="B5" s="19" t="s">
        <v>33</v>
      </c>
      <c r="C5" s="20">
        <v>4.0</v>
      </c>
      <c r="D5" s="20">
        <v>4.0</v>
      </c>
      <c r="E5" s="20">
        <v>3.0</v>
      </c>
      <c r="F5" s="20">
        <v>4.0</v>
      </c>
      <c r="G5" s="20">
        <v>4.0</v>
      </c>
      <c r="H5" s="20">
        <v>4.0</v>
      </c>
      <c r="I5" s="20">
        <v>4.0</v>
      </c>
      <c r="J5" s="20">
        <v>4.0</v>
      </c>
      <c r="K5" s="21">
        <v>4.0</v>
      </c>
      <c r="L5" s="21">
        <v>4.0</v>
      </c>
      <c r="M5" s="21">
        <v>4.0</v>
      </c>
      <c r="N5" s="21">
        <v>5.0</v>
      </c>
      <c r="O5" s="21">
        <v>4.0</v>
      </c>
      <c r="P5" s="21">
        <v>5.0</v>
      </c>
      <c r="Q5" s="21">
        <v>4.0</v>
      </c>
      <c r="R5" s="21">
        <v>4.0</v>
      </c>
      <c r="S5" s="21">
        <v>3.0</v>
      </c>
      <c r="T5" s="21">
        <v>3.0</v>
      </c>
      <c r="U5" s="21">
        <v>4.0</v>
      </c>
      <c r="V5" s="21">
        <v>4.0</v>
      </c>
      <c r="W5" s="22">
        <v>4.0</v>
      </c>
      <c r="X5" s="22">
        <v>4.0</v>
      </c>
      <c r="Y5" s="22">
        <v>4.0</v>
      </c>
      <c r="Z5" s="22">
        <v>4.0</v>
      </c>
      <c r="AA5" s="22">
        <v>3.0</v>
      </c>
      <c r="AB5" s="22">
        <v>3.0</v>
      </c>
      <c r="AC5" s="22">
        <v>3.0</v>
      </c>
      <c r="AD5" s="22">
        <v>3.0</v>
      </c>
      <c r="AE5" s="23">
        <v>4.0</v>
      </c>
      <c r="AF5" s="23">
        <v>5.0</v>
      </c>
      <c r="AG5" s="23">
        <v>4.0</v>
      </c>
      <c r="AH5" s="23">
        <v>5.0</v>
      </c>
      <c r="AI5" s="23">
        <v>4.0</v>
      </c>
      <c r="AJ5" s="23">
        <v>5.0</v>
      </c>
      <c r="AK5" s="23">
        <v>4.0</v>
      </c>
      <c r="AL5" s="23">
        <v>5.0</v>
      </c>
      <c r="AM5" s="23">
        <v>4.0</v>
      </c>
      <c r="AN5" s="23">
        <v>5.0</v>
      </c>
      <c r="AO5" s="23">
        <v>4.0</v>
      </c>
      <c r="AP5" s="23">
        <v>4.0</v>
      </c>
      <c r="AQ5" s="24">
        <f t="shared" si="1"/>
        <v>76</v>
      </c>
      <c r="AR5" s="24">
        <f t="shared" si="2"/>
        <v>84</v>
      </c>
      <c r="AS5" s="24">
        <f t="shared" si="3"/>
        <v>80</v>
      </c>
      <c r="AT5" s="24" t="str">
        <f t="shared" si="4"/>
        <v>Juara 2</v>
      </c>
      <c r="AU5" s="25" t="s">
        <v>34</v>
      </c>
      <c r="AV5" s="26"/>
      <c r="AW5" s="26"/>
      <c r="AX5" s="26"/>
    </row>
    <row r="6" ht="30.0" customHeight="1">
      <c r="A6" s="18">
        <v>3.0</v>
      </c>
      <c r="B6" s="19" t="s">
        <v>35</v>
      </c>
      <c r="C6" s="20">
        <v>4.0</v>
      </c>
      <c r="D6" s="20">
        <v>4.0</v>
      </c>
      <c r="E6" s="20">
        <v>3.0</v>
      </c>
      <c r="F6" s="20">
        <v>2.0</v>
      </c>
      <c r="G6" s="20">
        <v>3.0</v>
      </c>
      <c r="H6" s="20">
        <v>3.0</v>
      </c>
      <c r="I6" s="20">
        <v>4.0</v>
      </c>
      <c r="J6" s="20">
        <v>3.0</v>
      </c>
      <c r="K6" s="21">
        <v>4.0</v>
      </c>
      <c r="L6" s="21">
        <v>4.0</v>
      </c>
      <c r="M6" s="21">
        <v>4.0</v>
      </c>
      <c r="N6" s="21">
        <v>4.0</v>
      </c>
      <c r="O6" s="21">
        <v>3.0</v>
      </c>
      <c r="P6" s="21">
        <v>3.0</v>
      </c>
      <c r="Q6" s="21">
        <v>3.0</v>
      </c>
      <c r="R6" s="21">
        <v>4.0</v>
      </c>
      <c r="S6" s="21">
        <v>4.0</v>
      </c>
      <c r="T6" s="21">
        <v>4.0</v>
      </c>
      <c r="U6" s="21">
        <v>3.0</v>
      </c>
      <c r="V6" s="21">
        <v>3.0</v>
      </c>
      <c r="W6" s="22">
        <v>4.0</v>
      </c>
      <c r="X6" s="22">
        <v>4.0</v>
      </c>
      <c r="Y6" s="22">
        <v>3.0</v>
      </c>
      <c r="Z6" s="22">
        <v>3.0</v>
      </c>
      <c r="AA6" s="22">
        <v>4.0</v>
      </c>
      <c r="AB6" s="22">
        <v>4.0</v>
      </c>
      <c r="AC6" s="22">
        <v>3.0</v>
      </c>
      <c r="AD6" s="22">
        <v>3.0</v>
      </c>
      <c r="AE6" s="23">
        <v>3.0</v>
      </c>
      <c r="AF6" s="23">
        <v>3.0</v>
      </c>
      <c r="AG6" s="23">
        <v>3.0</v>
      </c>
      <c r="AH6" s="23">
        <v>3.0</v>
      </c>
      <c r="AI6" s="23">
        <v>3.0</v>
      </c>
      <c r="AJ6" s="23">
        <v>3.0</v>
      </c>
      <c r="AK6" s="23">
        <v>4.0</v>
      </c>
      <c r="AL6" s="23">
        <v>3.0</v>
      </c>
      <c r="AM6" s="23">
        <v>3.0</v>
      </c>
      <c r="AN6" s="23">
        <v>3.0</v>
      </c>
      <c r="AO6" s="23">
        <v>3.0</v>
      </c>
      <c r="AP6" s="23">
        <v>2.0</v>
      </c>
      <c r="AQ6" s="24">
        <f t="shared" si="1"/>
        <v>68</v>
      </c>
      <c r="AR6" s="24">
        <f t="shared" si="2"/>
        <v>65</v>
      </c>
      <c r="AS6" s="24">
        <f t="shared" si="3"/>
        <v>66.5</v>
      </c>
      <c r="AT6" s="24" t="str">
        <f t="shared" si="4"/>
        <v>Juara 6</v>
      </c>
      <c r="AU6" s="25" t="s">
        <v>36</v>
      </c>
      <c r="AV6" s="26"/>
      <c r="AW6" s="26"/>
      <c r="AX6" s="26"/>
    </row>
    <row r="7" ht="30.0" customHeight="1">
      <c r="A7" s="18">
        <v>4.0</v>
      </c>
      <c r="B7" s="19" t="s">
        <v>37</v>
      </c>
      <c r="C7" s="20">
        <v>4.0</v>
      </c>
      <c r="D7" s="20">
        <v>5.0</v>
      </c>
      <c r="E7" s="20">
        <v>5.0</v>
      </c>
      <c r="F7" s="20">
        <v>4.0</v>
      </c>
      <c r="G7" s="20">
        <v>4.0</v>
      </c>
      <c r="H7" s="20">
        <v>4.0</v>
      </c>
      <c r="I7" s="20">
        <v>4.0</v>
      </c>
      <c r="J7" s="20">
        <v>5.0</v>
      </c>
      <c r="K7" s="21">
        <v>5.0</v>
      </c>
      <c r="L7" s="21">
        <v>5.0</v>
      </c>
      <c r="M7" s="21">
        <v>4.0</v>
      </c>
      <c r="N7" s="21">
        <v>5.0</v>
      </c>
      <c r="O7" s="21">
        <v>5.0</v>
      </c>
      <c r="P7" s="21">
        <v>4.0</v>
      </c>
      <c r="Q7" s="21">
        <v>4.0</v>
      </c>
      <c r="R7" s="21">
        <v>5.0</v>
      </c>
      <c r="S7" s="21">
        <v>4.0</v>
      </c>
      <c r="T7" s="21">
        <v>4.0</v>
      </c>
      <c r="U7" s="21">
        <v>5.0</v>
      </c>
      <c r="V7" s="21">
        <v>5.0</v>
      </c>
      <c r="W7" s="22">
        <v>5.0</v>
      </c>
      <c r="X7" s="22">
        <v>5.0</v>
      </c>
      <c r="Y7" s="22">
        <v>4.0</v>
      </c>
      <c r="Z7" s="22">
        <v>4.0</v>
      </c>
      <c r="AA7" s="22">
        <v>4.0</v>
      </c>
      <c r="AB7" s="22">
        <v>4.0</v>
      </c>
      <c r="AC7" s="22">
        <v>4.0</v>
      </c>
      <c r="AD7" s="22">
        <v>4.0</v>
      </c>
      <c r="AE7" s="23">
        <v>3.0</v>
      </c>
      <c r="AF7" s="23">
        <v>3.0</v>
      </c>
      <c r="AG7" s="23">
        <v>3.0</v>
      </c>
      <c r="AH7" s="23">
        <v>3.0</v>
      </c>
      <c r="AI7" s="23">
        <v>2.0</v>
      </c>
      <c r="AJ7" s="23">
        <v>2.0</v>
      </c>
      <c r="AK7" s="23">
        <v>2.0</v>
      </c>
      <c r="AL7" s="23">
        <v>3.0</v>
      </c>
      <c r="AM7" s="23">
        <v>3.0</v>
      </c>
      <c r="AN7" s="23">
        <v>3.0</v>
      </c>
      <c r="AO7" s="23">
        <v>3.0</v>
      </c>
      <c r="AP7" s="23">
        <v>3.0</v>
      </c>
      <c r="AQ7" s="24">
        <f t="shared" si="1"/>
        <v>77</v>
      </c>
      <c r="AR7" s="24">
        <f t="shared" si="2"/>
        <v>80</v>
      </c>
      <c r="AS7" s="24">
        <f t="shared" si="3"/>
        <v>78.5</v>
      </c>
      <c r="AT7" s="24" t="str">
        <f t="shared" si="4"/>
        <v>Juara 3</v>
      </c>
      <c r="AU7" s="25" t="s">
        <v>38</v>
      </c>
      <c r="AV7" s="26"/>
      <c r="AW7" s="26"/>
      <c r="AX7" s="26"/>
    </row>
    <row r="8" ht="30.0" customHeight="1">
      <c r="A8" s="18">
        <v>5.0</v>
      </c>
      <c r="B8" s="19" t="s">
        <v>39</v>
      </c>
      <c r="C8" s="20">
        <v>4.0</v>
      </c>
      <c r="D8" s="20">
        <v>3.0</v>
      </c>
      <c r="E8" s="20">
        <v>3.0</v>
      </c>
      <c r="F8" s="20">
        <v>3.0</v>
      </c>
      <c r="G8" s="20">
        <v>3.0</v>
      </c>
      <c r="H8" s="20">
        <v>4.0</v>
      </c>
      <c r="I8" s="20">
        <v>4.0</v>
      </c>
      <c r="J8" s="20">
        <v>2.0</v>
      </c>
      <c r="K8" s="21">
        <v>3.0</v>
      </c>
      <c r="L8" s="21">
        <v>3.0</v>
      </c>
      <c r="M8" s="21">
        <v>3.0</v>
      </c>
      <c r="N8" s="21">
        <v>2.0</v>
      </c>
      <c r="O8" s="21">
        <v>3.0</v>
      </c>
      <c r="P8" s="21">
        <v>3.0</v>
      </c>
      <c r="Q8" s="21">
        <v>3.0</v>
      </c>
      <c r="R8" s="21">
        <v>3.0</v>
      </c>
      <c r="S8" s="21">
        <v>3.0</v>
      </c>
      <c r="T8" s="21">
        <v>3.0</v>
      </c>
      <c r="U8" s="21">
        <v>2.0</v>
      </c>
      <c r="V8" s="21">
        <v>2.0</v>
      </c>
      <c r="W8" s="22">
        <v>3.0</v>
      </c>
      <c r="X8" s="22">
        <v>3.0</v>
      </c>
      <c r="Y8" s="22">
        <v>3.0</v>
      </c>
      <c r="Z8" s="22">
        <v>3.0</v>
      </c>
      <c r="AA8" s="22">
        <v>3.0</v>
      </c>
      <c r="AB8" s="22">
        <v>4.0</v>
      </c>
      <c r="AC8" s="22">
        <v>3.0</v>
      </c>
      <c r="AD8" s="22">
        <v>3.0</v>
      </c>
      <c r="AE8" s="23">
        <v>2.0</v>
      </c>
      <c r="AF8" s="23">
        <v>2.0</v>
      </c>
      <c r="AG8" s="23">
        <v>1.0</v>
      </c>
      <c r="AH8" s="23">
        <v>2.0</v>
      </c>
      <c r="AI8" s="23">
        <v>1.0</v>
      </c>
      <c r="AJ8" s="23">
        <v>2.0</v>
      </c>
      <c r="AK8" s="23">
        <v>2.0</v>
      </c>
      <c r="AL8" s="23">
        <v>3.0</v>
      </c>
      <c r="AM8" s="23">
        <v>2.0</v>
      </c>
      <c r="AN8" s="23">
        <v>2.0</v>
      </c>
      <c r="AO8" s="23">
        <v>1.0</v>
      </c>
      <c r="AP8" s="23">
        <v>1.0</v>
      </c>
      <c r="AQ8" s="24">
        <f t="shared" si="1"/>
        <v>52</v>
      </c>
      <c r="AR8" s="24">
        <f t="shared" si="2"/>
        <v>53</v>
      </c>
      <c r="AS8" s="24">
        <f t="shared" si="3"/>
        <v>52.5</v>
      </c>
      <c r="AT8" s="24" t="str">
        <f t="shared" si="4"/>
        <v>Juara 7</v>
      </c>
      <c r="AU8" s="25" t="s">
        <v>40</v>
      </c>
      <c r="AV8" s="26"/>
      <c r="AW8" s="26"/>
      <c r="AX8" s="26"/>
    </row>
    <row r="9">
      <c r="A9" s="18">
        <v>6.0</v>
      </c>
      <c r="B9" s="19" t="s">
        <v>41</v>
      </c>
      <c r="C9" s="20">
        <v>4.0</v>
      </c>
      <c r="D9" s="20">
        <v>4.0</v>
      </c>
      <c r="E9" s="20">
        <v>3.0</v>
      </c>
      <c r="F9" s="20">
        <v>3.0</v>
      </c>
      <c r="G9" s="20">
        <v>3.0</v>
      </c>
      <c r="H9" s="20">
        <v>3.0</v>
      </c>
      <c r="I9" s="20">
        <v>4.0</v>
      </c>
      <c r="J9" s="20">
        <v>3.0</v>
      </c>
      <c r="K9" s="21">
        <v>3.0</v>
      </c>
      <c r="L9" s="21">
        <v>3.0</v>
      </c>
      <c r="M9" s="21">
        <v>3.0</v>
      </c>
      <c r="N9" s="21">
        <v>4.0</v>
      </c>
      <c r="O9" s="21">
        <v>3.0</v>
      </c>
      <c r="P9" s="21">
        <v>4.0</v>
      </c>
      <c r="Q9" s="21">
        <v>3.0</v>
      </c>
      <c r="R9" s="21">
        <v>4.0</v>
      </c>
      <c r="S9" s="21">
        <v>4.0</v>
      </c>
      <c r="T9" s="21">
        <v>4.0</v>
      </c>
      <c r="U9" s="21">
        <v>3.0</v>
      </c>
      <c r="V9" s="21">
        <v>3.0</v>
      </c>
      <c r="W9" s="22">
        <v>4.0</v>
      </c>
      <c r="X9" s="22">
        <v>5.0</v>
      </c>
      <c r="Y9" s="22">
        <v>3.0</v>
      </c>
      <c r="Z9" s="22">
        <v>4.0</v>
      </c>
      <c r="AA9" s="22">
        <v>3.0</v>
      </c>
      <c r="AB9" s="22">
        <v>4.0</v>
      </c>
      <c r="AC9" s="22">
        <v>3.0</v>
      </c>
      <c r="AD9" s="22">
        <v>4.0</v>
      </c>
      <c r="AE9" s="23">
        <v>3.0</v>
      </c>
      <c r="AF9" s="23">
        <v>4.0</v>
      </c>
      <c r="AG9" s="23">
        <v>3.0</v>
      </c>
      <c r="AH9" s="23">
        <v>4.0</v>
      </c>
      <c r="AI9" s="23">
        <v>4.0</v>
      </c>
      <c r="AJ9" s="23">
        <v>4.0</v>
      </c>
      <c r="AK9" s="23">
        <v>4.0</v>
      </c>
      <c r="AL9" s="23">
        <v>3.0</v>
      </c>
      <c r="AM9" s="23">
        <v>4.0</v>
      </c>
      <c r="AN9" s="23">
        <v>4.0</v>
      </c>
      <c r="AO9" s="23">
        <v>3.0</v>
      </c>
      <c r="AP9" s="23">
        <v>3.0</v>
      </c>
      <c r="AQ9" s="24">
        <f t="shared" si="1"/>
        <v>67</v>
      </c>
      <c r="AR9" s="24">
        <f t="shared" si="2"/>
        <v>74</v>
      </c>
      <c r="AS9" s="24">
        <f t="shared" si="3"/>
        <v>70.5</v>
      </c>
      <c r="AT9" s="24" t="str">
        <f t="shared" si="4"/>
        <v>Juara 5</v>
      </c>
      <c r="AU9" s="25" t="s">
        <v>42</v>
      </c>
      <c r="AV9" s="26"/>
      <c r="AW9" s="26"/>
      <c r="AX9" s="26"/>
    </row>
    <row r="10" ht="30.0" customHeight="1">
      <c r="A10" s="18">
        <v>7.0</v>
      </c>
      <c r="B10" s="19" t="s">
        <v>43</v>
      </c>
      <c r="C10" s="20">
        <v>4.0</v>
      </c>
      <c r="D10" s="20">
        <v>4.0</v>
      </c>
      <c r="E10" s="20">
        <v>4.0</v>
      </c>
      <c r="F10" s="20">
        <v>4.0</v>
      </c>
      <c r="G10" s="20">
        <v>3.0</v>
      </c>
      <c r="H10" s="20">
        <v>4.0</v>
      </c>
      <c r="I10" s="20">
        <v>4.0</v>
      </c>
      <c r="J10" s="20">
        <v>4.0</v>
      </c>
      <c r="K10" s="21">
        <v>3.0</v>
      </c>
      <c r="L10" s="21">
        <v>4.0</v>
      </c>
      <c r="M10" s="21">
        <v>3.0</v>
      </c>
      <c r="N10" s="21">
        <v>4.0</v>
      </c>
      <c r="O10" s="21">
        <v>4.0</v>
      </c>
      <c r="P10" s="21">
        <v>5.0</v>
      </c>
      <c r="Q10" s="21">
        <v>3.0</v>
      </c>
      <c r="R10" s="21">
        <v>4.0</v>
      </c>
      <c r="S10" s="21">
        <v>4.0</v>
      </c>
      <c r="T10" s="21">
        <v>4.0</v>
      </c>
      <c r="U10" s="21">
        <v>4.0</v>
      </c>
      <c r="V10" s="21">
        <v>4.0</v>
      </c>
      <c r="W10" s="22">
        <v>4.0</v>
      </c>
      <c r="X10" s="22">
        <v>4.0</v>
      </c>
      <c r="Y10" s="22">
        <v>4.0</v>
      </c>
      <c r="Z10" s="22">
        <v>5.0</v>
      </c>
      <c r="AA10" s="22">
        <v>3.0</v>
      </c>
      <c r="AB10" s="22">
        <v>4.0</v>
      </c>
      <c r="AC10" s="22">
        <v>4.0</v>
      </c>
      <c r="AD10" s="22">
        <v>4.0</v>
      </c>
      <c r="AE10" s="23">
        <v>4.0</v>
      </c>
      <c r="AF10" s="23">
        <v>4.0</v>
      </c>
      <c r="AG10" s="23">
        <v>3.0</v>
      </c>
      <c r="AH10" s="23">
        <v>4.0</v>
      </c>
      <c r="AI10" s="23">
        <v>4.0</v>
      </c>
      <c r="AJ10" s="23">
        <v>3.0</v>
      </c>
      <c r="AK10" s="23">
        <v>4.0</v>
      </c>
      <c r="AL10" s="23">
        <v>4.0</v>
      </c>
      <c r="AM10" s="23">
        <v>4.0</v>
      </c>
      <c r="AN10" s="23">
        <v>4.0</v>
      </c>
      <c r="AO10" s="23">
        <v>4.0</v>
      </c>
      <c r="AP10" s="23">
        <v>4.0</v>
      </c>
      <c r="AQ10" s="24">
        <f t="shared" si="1"/>
        <v>74</v>
      </c>
      <c r="AR10" s="24">
        <f t="shared" si="2"/>
        <v>81</v>
      </c>
      <c r="AS10" s="24">
        <f t="shared" si="3"/>
        <v>77.5</v>
      </c>
      <c r="AT10" s="24" t="str">
        <f t="shared" si="4"/>
        <v>Juara 4</v>
      </c>
      <c r="AU10" s="25" t="s">
        <v>44</v>
      </c>
      <c r="AV10" s="26"/>
      <c r="AW10" s="26"/>
      <c r="AX10" s="26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26"/>
      <c r="AV11" s="11"/>
      <c r="AW11" s="11"/>
      <c r="AX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26"/>
      <c r="AV12" s="11"/>
      <c r="AW12" s="11"/>
      <c r="AX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26"/>
      <c r="AV13" s="11"/>
      <c r="AW13" s="11"/>
      <c r="AX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26"/>
      <c r="AV14" s="11"/>
      <c r="AW14" s="11"/>
      <c r="AX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26"/>
      <c r="AV15" s="11"/>
      <c r="AW15" s="11"/>
      <c r="AX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26"/>
      <c r="AV16" s="11"/>
      <c r="AW16" s="11"/>
      <c r="AX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26"/>
      <c r="AV17" s="11"/>
      <c r="AW17" s="11"/>
      <c r="AX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26"/>
      <c r="AV18" s="11"/>
      <c r="AW18" s="11"/>
      <c r="AX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26"/>
      <c r="AV19" s="11"/>
      <c r="AW19" s="11"/>
      <c r="AX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26"/>
      <c r="AV20" s="11"/>
      <c r="AW20" s="11"/>
      <c r="AX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26"/>
      <c r="AV21" s="11"/>
      <c r="AW21" s="11"/>
      <c r="AX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26"/>
      <c r="AV22" s="11"/>
      <c r="AW22" s="11"/>
      <c r="AX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26"/>
      <c r="AV23" s="11"/>
      <c r="AW23" s="11"/>
      <c r="AX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26"/>
      <c r="AV24" s="11"/>
      <c r="AW24" s="11"/>
      <c r="AX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26"/>
      <c r="AV25" s="11"/>
      <c r="AW25" s="11"/>
      <c r="AX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26"/>
      <c r="AV26" s="11"/>
      <c r="AW26" s="11"/>
      <c r="AX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26"/>
      <c r="AV27" s="11"/>
      <c r="AW27" s="11"/>
      <c r="AX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26"/>
      <c r="AV28" s="11"/>
      <c r="AW28" s="11"/>
      <c r="AX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26"/>
      <c r="AV29" s="11"/>
      <c r="AW29" s="11"/>
      <c r="AX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26"/>
      <c r="AV30" s="11"/>
      <c r="AW30" s="11"/>
      <c r="AX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26"/>
      <c r="AV31" s="11"/>
      <c r="AW31" s="11"/>
      <c r="AX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26"/>
      <c r="AV32" s="11"/>
      <c r="AW32" s="11"/>
      <c r="AX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26"/>
      <c r="AV33" s="11"/>
      <c r="AW33" s="11"/>
      <c r="AX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26"/>
      <c r="AV34" s="11"/>
      <c r="AW34" s="11"/>
      <c r="AX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6"/>
      <c r="AV35" s="11"/>
      <c r="AW35" s="11"/>
      <c r="AX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26"/>
      <c r="AV36" s="11"/>
      <c r="AW36" s="11"/>
      <c r="AX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26"/>
      <c r="AV37" s="11"/>
      <c r="AW37" s="11"/>
      <c r="AX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26"/>
      <c r="AV38" s="11"/>
      <c r="AW38" s="11"/>
      <c r="AX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26"/>
      <c r="AV39" s="11"/>
      <c r="AW39" s="11"/>
      <c r="AX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26"/>
      <c r="AV40" s="11"/>
      <c r="AW40" s="11"/>
      <c r="AX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26"/>
      <c r="AV41" s="11"/>
      <c r="AW41" s="11"/>
      <c r="AX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26"/>
      <c r="AV42" s="11"/>
      <c r="AW42" s="11"/>
      <c r="AX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26"/>
      <c r="AV43" s="11"/>
      <c r="AW43" s="11"/>
      <c r="A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26"/>
      <c r="AV44" s="11"/>
      <c r="AW44" s="11"/>
      <c r="A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26"/>
      <c r="AV45" s="11"/>
      <c r="AW45" s="11"/>
      <c r="A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26"/>
      <c r="AV46" s="11"/>
      <c r="AW46" s="11"/>
      <c r="A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26"/>
      <c r="AV47" s="11"/>
      <c r="AW47" s="11"/>
      <c r="A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26"/>
      <c r="AV48" s="11"/>
      <c r="AW48" s="11"/>
      <c r="A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26"/>
      <c r="AV49" s="11"/>
      <c r="AW49" s="11"/>
      <c r="A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26"/>
      <c r="AV50" s="11"/>
      <c r="AW50" s="11"/>
      <c r="A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26"/>
      <c r="AV51" s="11"/>
      <c r="AW51" s="11"/>
      <c r="A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26"/>
      <c r="AV52" s="11"/>
      <c r="AW52" s="11"/>
      <c r="A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26"/>
      <c r="AV53" s="11"/>
      <c r="AW53" s="11"/>
      <c r="A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26"/>
      <c r="AV54" s="11"/>
      <c r="AW54" s="11"/>
      <c r="A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26"/>
      <c r="AV55" s="11"/>
      <c r="AW55" s="11"/>
      <c r="A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26"/>
      <c r="AV56" s="11"/>
      <c r="AW56" s="11"/>
      <c r="A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26"/>
      <c r="AV57" s="11"/>
      <c r="AW57" s="11"/>
      <c r="A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26"/>
      <c r="AV58" s="11"/>
      <c r="AW58" s="11"/>
      <c r="A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26"/>
      <c r="AV59" s="11"/>
      <c r="AW59" s="11"/>
      <c r="A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26"/>
      <c r="AV60" s="11"/>
      <c r="AW60" s="11"/>
      <c r="A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26"/>
      <c r="AV61" s="11"/>
      <c r="AW61" s="11"/>
      <c r="A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26"/>
      <c r="AV62" s="11"/>
      <c r="AW62" s="11"/>
      <c r="A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26"/>
      <c r="AV63" s="11"/>
      <c r="AW63" s="11"/>
      <c r="A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26"/>
      <c r="AV64" s="11"/>
      <c r="AW64" s="11"/>
      <c r="A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26"/>
      <c r="AV65" s="11"/>
      <c r="AW65" s="11"/>
      <c r="A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26"/>
      <c r="AV66" s="11"/>
      <c r="AW66" s="11"/>
      <c r="A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26"/>
      <c r="AV67" s="11"/>
      <c r="AW67" s="11"/>
      <c r="A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26"/>
      <c r="AV68" s="11"/>
      <c r="AW68" s="11"/>
      <c r="A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26"/>
      <c r="AV69" s="11"/>
      <c r="AW69" s="11"/>
      <c r="A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26"/>
      <c r="AV70" s="11"/>
      <c r="AW70" s="11"/>
      <c r="A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26"/>
      <c r="AV71" s="11"/>
      <c r="AW71" s="11"/>
      <c r="A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26"/>
      <c r="AV72" s="11"/>
      <c r="AW72" s="11"/>
      <c r="A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26"/>
      <c r="AV73" s="11"/>
      <c r="AW73" s="11"/>
      <c r="A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26"/>
      <c r="AV74" s="11"/>
      <c r="AW74" s="11"/>
      <c r="A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26"/>
      <c r="AV75" s="11"/>
      <c r="AW75" s="11"/>
      <c r="A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26"/>
      <c r="AV76" s="11"/>
      <c r="AW76" s="11"/>
      <c r="A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26"/>
      <c r="AV77" s="11"/>
      <c r="AW77" s="11"/>
      <c r="A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26"/>
      <c r="AV78" s="11"/>
      <c r="AW78" s="11"/>
      <c r="A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26"/>
      <c r="AV79" s="11"/>
      <c r="AW79" s="11"/>
      <c r="A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26"/>
      <c r="AV80" s="11"/>
      <c r="AW80" s="11"/>
      <c r="A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26"/>
      <c r="AV81" s="11"/>
      <c r="AW81" s="11"/>
      <c r="A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26"/>
      <c r="AV82" s="11"/>
      <c r="AW82" s="11"/>
      <c r="A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26"/>
      <c r="AV83" s="11"/>
      <c r="AW83" s="11"/>
      <c r="A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26"/>
      <c r="AV84" s="11"/>
      <c r="AW84" s="11"/>
      <c r="A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26"/>
      <c r="AV85" s="11"/>
      <c r="AW85" s="11"/>
      <c r="A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26"/>
      <c r="AV86" s="11"/>
      <c r="AW86" s="11"/>
      <c r="A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26"/>
      <c r="AV87" s="11"/>
      <c r="AW87" s="11"/>
      <c r="A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26"/>
      <c r="AV88" s="11"/>
      <c r="AW88" s="11"/>
      <c r="A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26"/>
      <c r="AV89" s="11"/>
      <c r="AW89" s="11"/>
      <c r="A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26"/>
      <c r="AV90" s="11"/>
      <c r="AW90" s="11"/>
      <c r="A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26"/>
      <c r="AV91" s="11"/>
      <c r="AW91" s="11"/>
      <c r="A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26"/>
      <c r="AV92" s="11"/>
      <c r="AW92" s="11"/>
      <c r="A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26"/>
      <c r="AV93" s="11"/>
      <c r="AW93" s="11"/>
      <c r="A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26"/>
      <c r="AV94" s="11"/>
      <c r="AW94" s="11"/>
      <c r="A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26"/>
      <c r="AV95" s="11"/>
      <c r="AW95" s="11"/>
      <c r="A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26"/>
      <c r="AV96" s="11"/>
      <c r="AW96" s="11"/>
      <c r="A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26"/>
      <c r="AV97" s="11"/>
      <c r="AW97" s="11"/>
      <c r="A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26"/>
      <c r="AV98" s="11"/>
      <c r="AW98" s="11"/>
      <c r="A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26"/>
      <c r="AV99" s="11"/>
      <c r="AW99" s="11"/>
      <c r="A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26"/>
      <c r="AV100" s="11"/>
      <c r="AW100" s="11"/>
      <c r="A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26"/>
      <c r="AV101" s="11"/>
      <c r="AW101" s="11"/>
      <c r="A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26"/>
      <c r="AV102" s="11"/>
      <c r="AW102" s="11"/>
      <c r="A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26"/>
      <c r="AV103" s="11"/>
      <c r="AW103" s="11"/>
      <c r="A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26"/>
      <c r="AV104" s="11"/>
      <c r="AW104" s="11"/>
      <c r="A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26"/>
      <c r="AV105" s="11"/>
      <c r="AW105" s="11"/>
      <c r="A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26"/>
      <c r="AV106" s="11"/>
      <c r="AW106" s="11"/>
      <c r="A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26"/>
      <c r="AV107" s="11"/>
      <c r="AW107" s="11"/>
      <c r="A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26"/>
      <c r="AV108" s="11"/>
      <c r="AW108" s="11"/>
      <c r="A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26"/>
      <c r="AV109" s="11"/>
      <c r="AW109" s="11"/>
      <c r="A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26"/>
      <c r="AV110" s="11"/>
      <c r="AW110" s="11"/>
      <c r="A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26"/>
      <c r="AV111" s="11"/>
      <c r="AW111" s="11"/>
      <c r="A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26"/>
      <c r="AV112" s="11"/>
      <c r="AW112" s="11"/>
      <c r="A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26"/>
      <c r="AV113" s="11"/>
      <c r="AW113" s="11"/>
      <c r="A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26"/>
      <c r="AV114" s="11"/>
      <c r="AW114" s="11"/>
      <c r="A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26"/>
      <c r="AV115" s="11"/>
      <c r="AW115" s="11"/>
      <c r="A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26"/>
      <c r="AV116" s="11"/>
      <c r="AW116" s="11"/>
      <c r="A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26"/>
      <c r="AV117" s="11"/>
      <c r="AW117" s="11"/>
      <c r="A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26"/>
      <c r="AV118" s="11"/>
      <c r="AW118" s="11"/>
      <c r="A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26"/>
      <c r="AV119" s="11"/>
      <c r="AW119" s="11"/>
      <c r="A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26"/>
      <c r="AV120" s="11"/>
      <c r="AW120" s="11"/>
      <c r="A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26"/>
      <c r="AV121" s="11"/>
      <c r="AW121" s="11"/>
      <c r="A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26"/>
      <c r="AV122" s="11"/>
      <c r="AW122" s="11"/>
      <c r="A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26"/>
      <c r="AV123" s="11"/>
      <c r="AW123" s="11"/>
      <c r="A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26"/>
      <c r="AV124" s="11"/>
      <c r="AW124" s="11"/>
      <c r="A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26"/>
      <c r="AV125" s="11"/>
      <c r="AW125" s="11"/>
      <c r="A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26"/>
      <c r="AV126" s="11"/>
      <c r="AW126" s="11"/>
      <c r="A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26"/>
      <c r="AV127" s="11"/>
      <c r="AW127" s="11"/>
      <c r="A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26"/>
      <c r="AV128" s="11"/>
      <c r="AW128" s="11"/>
      <c r="A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26"/>
      <c r="AV129" s="11"/>
      <c r="AW129" s="11"/>
      <c r="A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26"/>
      <c r="AV130" s="11"/>
      <c r="AW130" s="11"/>
      <c r="A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26"/>
      <c r="AV131" s="11"/>
      <c r="AW131" s="11"/>
      <c r="A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26"/>
      <c r="AV132" s="11"/>
      <c r="AW132" s="11"/>
      <c r="A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26"/>
      <c r="AV133" s="11"/>
      <c r="AW133" s="11"/>
      <c r="A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26"/>
      <c r="AV134" s="11"/>
      <c r="AW134" s="11"/>
      <c r="A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26"/>
      <c r="AV135" s="11"/>
      <c r="AW135" s="11"/>
      <c r="A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26"/>
      <c r="AV136" s="11"/>
      <c r="AW136" s="11"/>
      <c r="A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26"/>
      <c r="AV137" s="11"/>
      <c r="AW137" s="11"/>
      <c r="A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26"/>
      <c r="AV138" s="11"/>
      <c r="AW138" s="11"/>
      <c r="A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26"/>
      <c r="AV139" s="11"/>
      <c r="AW139" s="11"/>
      <c r="A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26"/>
      <c r="AV140" s="11"/>
      <c r="AW140" s="11"/>
      <c r="A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26"/>
      <c r="AV141" s="11"/>
      <c r="AW141" s="11"/>
      <c r="A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26"/>
      <c r="AV142" s="11"/>
      <c r="AW142" s="11"/>
      <c r="A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26"/>
      <c r="AV143" s="11"/>
      <c r="AW143" s="11"/>
      <c r="A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26"/>
      <c r="AV144" s="11"/>
      <c r="AW144" s="11"/>
      <c r="A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26"/>
      <c r="AV145" s="11"/>
      <c r="AW145" s="11"/>
      <c r="A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26"/>
      <c r="AV146" s="11"/>
      <c r="AW146" s="11"/>
      <c r="A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26"/>
      <c r="AV147" s="11"/>
      <c r="AW147" s="11"/>
      <c r="A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26"/>
      <c r="AV148" s="11"/>
      <c r="AW148" s="11"/>
      <c r="A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26"/>
      <c r="AV149" s="11"/>
      <c r="AW149" s="11"/>
      <c r="A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26"/>
      <c r="AV150" s="11"/>
      <c r="AW150" s="11"/>
      <c r="A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26"/>
      <c r="AV151" s="11"/>
      <c r="AW151" s="11"/>
      <c r="A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26"/>
      <c r="AV152" s="11"/>
      <c r="AW152" s="11"/>
      <c r="A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26"/>
      <c r="AV153" s="11"/>
      <c r="AW153" s="11"/>
      <c r="A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26"/>
      <c r="AV154" s="11"/>
      <c r="AW154" s="11"/>
      <c r="A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26"/>
      <c r="AV155" s="11"/>
      <c r="AW155" s="11"/>
      <c r="A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26"/>
      <c r="AV156" s="11"/>
      <c r="AW156" s="11"/>
      <c r="A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26"/>
      <c r="AV157" s="11"/>
      <c r="AW157" s="11"/>
      <c r="A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26"/>
      <c r="AV158" s="11"/>
      <c r="AW158" s="11"/>
      <c r="A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26"/>
      <c r="AV159" s="11"/>
      <c r="AW159" s="11"/>
      <c r="A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26"/>
      <c r="AV160" s="11"/>
      <c r="AW160" s="11"/>
      <c r="A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26"/>
      <c r="AV161" s="11"/>
      <c r="AW161" s="11"/>
      <c r="A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26"/>
      <c r="AV162" s="11"/>
      <c r="AW162" s="11"/>
      <c r="A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26"/>
      <c r="AV163" s="11"/>
      <c r="AW163" s="11"/>
      <c r="A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26"/>
      <c r="AV164" s="11"/>
      <c r="AW164" s="11"/>
      <c r="A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26"/>
      <c r="AV165" s="11"/>
      <c r="AW165" s="11"/>
      <c r="A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26"/>
      <c r="AV166" s="11"/>
      <c r="AW166" s="11"/>
      <c r="A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26"/>
      <c r="AV167" s="11"/>
      <c r="AW167" s="11"/>
      <c r="A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26"/>
      <c r="AV168" s="11"/>
      <c r="AW168" s="11"/>
      <c r="A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26"/>
      <c r="AV169" s="11"/>
      <c r="AW169" s="11"/>
      <c r="A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26"/>
      <c r="AV170" s="11"/>
      <c r="AW170" s="11"/>
      <c r="A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26"/>
      <c r="AV171" s="11"/>
      <c r="AW171" s="11"/>
      <c r="A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26"/>
      <c r="AV172" s="11"/>
      <c r="AW172" s="11"/>
      <c r="A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26"/>
      <c r="AV173" s="11"/>
      <c r="AW173" s="11"/>
      <c r="A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26"/>
      <c r="AV174" s="11"/>
      <c r="AW174" s="11"/>
      <c r="A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26"/>
      <c r="AV175" s="11"/>
      <c r="AW175" s="11"/>
      <c r="A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26"/>
      <c r="AV176" s="11"/>
      <c r="AW176" s="11"/>
      <c r="A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26"/>
      <c r="AV177" s="11"/>
      <c r="AW177" s="11"/>
      <c r="A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26"/>
      <c r="AV178" s="11"/>
      <c r="AW178" s="11"/>
      <c r="A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26"/>
      <c r="AV179" s="11"/>
      <c r="AW179" s="11"/>
      <c r="A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26"/>
      <c r="AV180" s="11"/>
      <c r="AW180" s="11"/>
      <c r="A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26"/>
      <c r="AV181" s="11"/>
      <c r="AW181" s="11"/>
      <c r="A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26"/>
      <c r="AV182" s="11"/>
      <c r="AW182" s="11"/>
      <c r="A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26"/>
      <c r="AV183" s="11"/>
      <c r="AW183" s="11"/>
      <c r="A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26"/>
      <c r="AV184" s="11"/>
      <c r="AW184" s="11"/>
      <c r="A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26"/>
      <c r="AV185" s="11"/>
      <c r="AW185" s="11"/>
      <c r="A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26"/>
      <c r="AV186" s="11"/>
      <c r="AW186" s="11"/>
      <c r="A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26"/>
      <c r="AV187" s="11"/>
      <c r="AW187" s="11"/>
      <c r="A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26"/>
      <c r="AV188" s="11"/>
      <c r="AW188" s="11"/>
      <c r="A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26"/>
      <c r="AV189" s="11"/>
      <c r="AW189" s="11"/>
      <c r="A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26"/>
      <c r="AV190" s="11"/>
      <c r="AW190" s="11"/>
      <c r="A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26"/>
      <c r="AV191" s="11"/>
      <c r="AW191" s="11"/>
      <c r="A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26"/>
      <c r="AV192" s="11"/>
      <c r="AW192" s="11"/>
      <c r="A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26"/>
      <c r="AV193" s="11"/>
      <c r="AW193" s="11"/>
      <c r="A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26"/>
      <c r="AV194" s="11"/>
      <c r="AW194" s="11"/>
      <c r="A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26"/>
      <c r="AV195" s="11"/>
      <c r="AW195" s="11"/>
      <c r="A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26"/>
      <c r="AV196" s="11"/>
      <c r="AW196" s="11"/>
      <c r="A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26"/>
      <c r="AV197" s="11"/>
      <c r="AW197" s="11"/>
      <c r="A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26"/>
      <c r="AV198" s="11"/>
      <c r="AW198" s="11"/>
      <c r="A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26"/>
      <c r="AV199" s="11"/>
      <c r="AW199" s="11"/>
      <c r="A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26"/>
      <c r="AV200" s="11"/>
      <c r="AW200" s="11"/>
      <c r="A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26"/>
      <c r="AV201" s="11"/>
      <c r="AW201" s="11"/>
      <c r="A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26"/>
      <c r="AV202" s="11"/>
      <c r="AW202" s="11"/>
      <c r="A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26"/>
      <c r="AV203" s="11"/>
      <c r="AW203" s="11"/>
      <c r="A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26"/>
      <c r="AV204" s="11"/>
      <c r="AW204" s="11"/>
      <c r="A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26"/>
      <c r="AV205" s="11"/>
      <c r="AW205" s="11"/>
      <c r="A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26"/>
      <c r="AV206" s="11"/>
      <c r="AW206" s="11"/>
      <c r="A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26"/>
      <c r="AV207" s="11"/>
      <c r="AW207" s="11"/>
      <c r="A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26"/>
      <c r="AV208" s="11"/>
      <c r="AW208" s="11"/>
      <c r="A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26"/>
      <c r="AV209" s="11"/>
      <c r="AW209" s="11"/>
      <c r="A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26"/>
      <c r="AV210" s="11"/>
      <c r="AW210" s="11"/>
      <c r="A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26"/>
      <c r="AV211" s="11"/>
      <c r="AW211" s="11"/>
      <c r="A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26"/>
      <c r="AV212" s="11"/>
      <c r="AW212" s="11"/>
      <c r="A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26"/>
      <c r="AV213" s="11"/>
      <c r="AW213" s="11"/>
      <c r="A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26"/>
      <c r="AV214" s="11"/>
      <c r="AW214" s="11"/>
      <c r="A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26"/>
      <c r="AV215" s="11"/>
      <c r="AW215" s="11"/>
      <c r="A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26"/>
      <c r="AV216" s="11"/>
      <c r="AW216" s="11"/>
      <c r="A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26"/>
      <c r="AV217" s="11"/>
      <c r="AW217" s="11"/>
      <c r="A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26"/>
      <c r="AV218" s="11"/>
      <c r="AW218" s="11"/>
      <c r="A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26"/>
      <c r="AV219" s="11"/>
      <c r="AW219" s="11"/>
      <c r="A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26"/>
      <c r="AV220" s="11"/>
      <c r="AW220" s="11"/>
      <c r="A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26"/>
      <c r="AV221" s="11"/>
      <c r="AW221" s="11"/>
      <c r="A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26"/>
      <c r="AV222" s="11"/>
      <c r="AW222" s="11"/>
      <c r="A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26"/>
      <c r="AV223" s="11"/>
      <c r="AW223" s="11"/>
      <c r="A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26"/>
      <c r="AV224" s="11"/>
      <c r="AW224" s="11"/>
      <c r="A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26"/>
      <c r="AV225" s="11"/>
      <c r="AW225" s="11"/>
      <c r="A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26"/>
      <c r="AV226" s="11"/>
      <c r="AW226" s="11"/>
      <c r="A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26"/>
      <c r="AV227" s="11"/>
      <c r="AW227" s="11"/>
      <c r="A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26"/>
      <c r="AV228" s="11"/>
      <c r="AW228" s="11"/>
      <c r="A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26"/>
      <c r="AV229" s="11"/>
      <c r="AW229" s="11"/>
      <c r="A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26"/>
      <c r="AV230" s="11"/>
      <c r="AW230" s="11"/>
      <c r="A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26"/>
      <c r="AV231" s="11"/>
      <c r="AW231" s="11"/>
      <c r="A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26"/>
      <c r="AV232" s="11"/>
      <c r="AW232" s="11"/>
      <c r="A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26"/>
      <c r="AV233" s="11"/>
      <c r="AW233" s="11"/>
      <c r="A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26"/>
      <c r="AV234" s="11"/>
      <c r="AW234" s="11"/>
      <c r="A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26"/>
      <c r="AV235" s="11"/>
      <c r="AW235" s="11"/>
      <c r="A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26"/>
      <c r="AV236" s="11"/>
      <c r="AW236" s="11"/>
      <c r="A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26"/>
      <c r="AV237" s="11"/>
      <c r="AW237" s="11"/>
      <c r="A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26"/>
      <c r="AV238" s="11"/>
      <c r="AW238" s="11"/>
      <c r="A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26"/>
      <c r="AV239" s="11"/>
      <c r="AW239" s="11"/>
      <c r="A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26"/>
      <c r="AV240" s="11"/>
      <c r="AW240" s="11"/>
      <c r="A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26"/>
      <c r="AV241" s="11"/>
      <c r="AW241" s="11"/>
      <c r="A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26"/>
      <c r="AV242" s="11"/>
      <c r="AW242" s="11"/>
      <c r="A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26"/>
      <c r="AV243" s="11"/>
      <c r="AW243" s="11"/>
      <c r="A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26"/>
      <c r="AV244" s="11"/>
      <c r="AW244" s="11"/>
      <c r="A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26"/>
      <c r="AV245" s="11"/>
      <c r="AW245" s="11"/>
      <c r="A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26"/>
      <c r="AV246" s="11"/>
      <c r="AW246" s="11"/>
      <c r="A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26"/>
      <c r="AV247" s="11"/>
      <c r="AW247" s="11"/>
      <c r="A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26"/>
      <c r="AV248" s="11"/>
      <c r="AW248" s="11"/>
      <c r="A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26"/>
      <c r="AV249" s="11"/>
      <c r="AW249" s="11"/>
      <c r="A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26"/>
      <c r="AV250" s="11"/>
      <c r="AW250" s="11"/>
      <c r="A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26"/>
      <c r="AV251" s="11"/>
      <c r="AW251" s="11"/>
      <c r="A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26"/>
      <c r="AV252" s="11"/>
      <c r="AW252" s="11"/>
      <c r="A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26"/>
      <c r="AV253" s="11"/>
      <c r="AW253" s="11"/>
      <c r="A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26"/>
      <c r="AV254" s="11"/>
      <c r="AW254" s="11"/>
      <c r="A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26"/>
      <c r="AV255" s="11"/>
      <c r="AW255" s="11"/>
      <c r="A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26"/>
      <c r="AV256" s="11"/>
      <c r="AW256" s="11"/>
      <c r="A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26"/>
      <c r="AV257" s="11"/>
      <c r="AW257" s="11"/>
      <c r="A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26"/>
      <c r="AV258" s="11"/>
      <c r="AW258" s="11"/>
      <c r="A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26"/>
      <c r="AV259" s="11"/>
      <c r="AW259" s="11"/>
      <c r="A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26"/>
      <c r="AV260" s="11"/>
      <c r="AW260" s="11"/>
      <c r="A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26"/>
      <c r="AV261" s="11"/>
      <c r="AW261" s="11"/>
      <c r="A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26"/>
      <c r="AV262" s="11"/>
      <c r="AW262" s="11"/>
      <c r="A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26"/>
      <c r="AV263" s="11"/>
      <c r="AW263" s="11"/>
      <c r="A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26"/>
      <c r="AV264" s="11"/>
      <c r="AW264" s="11"/>
      <c r="A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26"/>
      <c r="AV265" s="11"/>
      <c r="AW265" s="11"/>
      <c r="A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26"/>
      <c r="AV266" s="11"/>
      <c r="AW266" s="11"/>
      <c r="A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26"/>
      <c r="AV267" s="11"/>
      <c r="AW267" s="11"/>
      <c r="A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26"/>
      <c r="AV268" s="11"/>
      <c r="AW268" s="11"/>
      <c r="A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26"/>
      <c r="AV269" s="11"/>
      <c r="AW269" s="11"/>
      <c r="A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26"/>
      <c r="AV270" s="11"/>
      <c r="AW270" s="11"/>
      <c r="A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26"/>
      <c r="AV271" s="11"/>
      <c r="AW271" s="11"/>
      <c r="A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26"/>
      <c r="AV272" s="11"/>
      <c r="AW272" s="11"/>
      <c r="A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26"/>
      <c r="AV273" s="11"/>
      <c r="AW273" s="11"/>
      <c r="A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26"/>
      <c r="AV274" s="11"/>
      <c r="AW274" s="11"/>
      <c r="A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26"/>
      <c r="AV275" s="11"/>
      <c r="AW275" s="11"/>
      <c r="A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26"/>
      <c r="AV276" s="11"/>
      <c r="AW276" s="11"/>
      <c r="A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26"/>
      <c r="AV277" s="11"/>
      <c r="AW277" s="11"/>
      <c r="A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26"/>
      <c r="AV278" s="11"/>
      <c r="AW278" s="11"/>
      <c r="A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26"/>
      <c r="AV279" s="11"/>
      <c r="AW279" s="11"/>
      <c r="A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26"/>
      <c r="AV280" s="11"/>
      <c r="AW280" s="11"/>
      <c r="A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26"/>
      <c r="AV281" s="11"/>
      <c r="AW281" s="11"/>
      <c r="A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26"/>
      <c r="AV282" s="11"/>
      <c r="AW282" s="11"/>
      <c r="A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26"/>
      <c r="AV283" s="11"/>
      <c r="AW283" s="11"/>
      <c r="A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26"/>
      <c r="AV284" s="11"/>
      <c r="AW284" s="11"/>
      <c r="A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26"/>
      <c r="AV285" s="11"/>
      <c r="AW285" s="11"/>
      <c r="A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26"/>
      <c r="AV286" s="11"/>
      <c r="AW286" s="11"/>
      <c r="A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26"/>
      <c r="AV287" s="11"/>
      <c r="AW287" s="11"/>
      <c r="A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26"/>
      <c r="AV288" s="11"/>
      <c r="AW288" s="11"/>
      <c r="A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26"/>
      <c r="AV289" s="11"/>
      <c r="AW289" s="11"/>
      <c r="A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26"/>
      <c r="AV290" s="11"/>
      <c r="AW290" s="11"/>
      <c r="A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26"/>
      <c r="AV291" s="11"/>
      <c r="AW291" s="11"/>
      <c r="A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26"/>
      <c r="AV292" s="11"/>
      <c r="AW292" s="11"/>
      <c r="A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26"/>
      <c r="AV293" s="11"/>
      <c r="AW293" s="11"/>
      <c r="A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26"/>
      <c r="AV294" s="11"/>
      <c r="AW294" s="11"/>
      <c r="A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26"/>
      <c r="AV295" s="11"/>
      <c r="AW295" s="11"/>
      <c r="A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26"/>
      <c r="AV296" s="11"/>
      <c r="AW296" s="11"/>
      <c r="A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26"/>
      <c r="AV297" s="11"/>
      <c r="AW297" s="11"/>
      <c r="A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26"/>
      <c r="AV298" s="11"/>
      <c r="AW298" s="11"/>
      <c r="A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26"/>
      <c r="AV299" s="11"/>
      <c r="AW299" s="11"/>
      <c r="A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26"/>
      <c r="AV300" s="11"/>
      <c r="AW300" s="11"/>
      <c r="A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26"/>
      <c r="AV301" s="11"/>
      <c r="AW301" s="11"/>
      <c r="A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26"/>
      <c r="AV302" s="11"/>
      <c r="AW302" s="11"/>
      <c r="A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26"/>
      <c r="AV303" s="11"/>
      <c r="AW303" s="11"/>
      <c r="A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26"/>
      <c r="AV304" s="11"/>
      <c r="AW304" s="11"/>
      <c r="A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26"/>
      <c r="AV305" s="11"/>
      <c r="AW305" s="11"/>
      <c r="A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26"/>
      <c r="AV306" s="11"/>
      <c r="AW306" s="11"/>
      <c r="A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26"/>
      <c r="AV307" s="11"/>
      <c r="AW307" s="11"/>
      <c r="A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26"/>
      <c r="AV308" s="11"/>
      <c r="AW308" s="11"/>
      <c r="A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26"/>
      <c r="AV309" s="11"/>
      <c r="AW309" s="11"/>
      <c r="A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26"/>
      <c r="AV310" s="11"/>
      <c r="AW310" s="11"/>
      <c r="A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26"/>
      <c r="AV311" s="11"/>
      <c r="AW311" s="11"/>
      <c r="A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26"/>
      <c r="AV312" s="11"/>
      <c r="AW312" s="11"/>
      <c r="A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26"/>
      <c r="AV313" s="11"/>
      <c r="AW313" s="11"/>
      <c r="A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26"/>
      <c r="AV314" s="11"/>
      <c r="AW314" s="11"/>
      <c r="A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26"/>
      <c r="AV315" s="11"/>
      <c r="AW315" s="11"/>
      <c r="A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26"/>
      <c r="AV316" s="11"/>
      <c r="AW316" s="11"/>
      <c r="A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26"/>
      <c r="AV317" s="11"/>
      <c r="AW317" s="11"/>
      <c r="A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26"/>
      <c r="AV318" s="11"/>
      <c r="AW318" s="11"/>
      <c r="A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26"/>
      <c r="AV319" s="11"/>
      <c r="AW319" s="11"/>
      <c r="A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26"/>
      <c r="AV320" s="11"/>
      <c r="AW320" s="11"/>
      <c r="A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26"/>
      <c r="AV321" s="11"/>
      <c r="AW321" s="11"/>
      <c r="A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26"/>
      <c r="AV322" s="11"/>
      <c r="AW322" s="11"/>
      <c r="A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26"/>
      <c r="AV323" s="11"/>
      <c r="AW323" s="11"/>
      <c r="A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26"/>
      <c r="AV324" s="11"/>
      <c r="AW324" s="11"/>
      <c r="A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26"/>
      <c r="AV325" s="11"/>
      <c r="AW325" s="11"/>
      <c r="A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26"/>
      <c r="AV326" s="11"/>
      <c r="AW326" s="11"/>
      <c r="A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26"/>
      <c r="AV327" s="11"/>
      <c r="AW327" s="11"/>
      <c r="A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26"/>
      <c r="AV328" s="11"/>
      <c r="AW328" s="11"/>
      <c r="A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26"/>
      <c r="AV329" s="11"/>
      <c r="AW329" s="11"/>
      <c r="A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26"/>
      <c r="AV330" s="11"/>
      <c r="AW330" s="11"/>
      <c r="A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26"/>
      <c r="AV331" s="11"/>
      <c r="AW331" s="11"/>
      <c r="A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26"/>
      <c r="AV332" s="11"/>
      <c r="AW332" s="11"/>
      <c r="A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26"/>
      <c r="AV333" s="11"/>
      <c r="AW333" s="11"/>
      <c r="A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26"/>
      <c r="AV334" s="11"/>
      <c r="AW334" s="11"/>
      <c r="A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26"/>
      <c r="AV335" s="11"/>
      <c r="AW335" s="11"/>
      <c r="A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26"/>
      <c r="AV336" s="11"/>
      <c r="AW336" s="11"/>
      <c r="A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26"/>
      <c r="AV337" s="11"/>
      <c r="AW337" s="11"/>
      <c r="A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26"/>
      <c r="AV338" s="11"/>
      <c r="AW338" s="11"/>
      <c r="A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26"/>
      <c r="AV339" s="11"/>
      <c r="AW339" s="11"/>
      <c r="A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26"/>
      <c r="AV340" s="11"/>
      <c r="AW340" s="11"/>
      <c r="A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26"/>
      <c r="AV341" s="11"/>
      <c r="AW341" s="11"/>
      <c r="A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26"/>
      <c r="AV342" s="11"/>
      <c r="AW342" s="11"/>
      <c r="A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26"/>
      <c r="AV343" s="11"/>
      <c r="AW343" s="11"/>
      <c r="A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26"/>
      <c r="AV344" s="11"/>
      <c r="AW344" s="11"/>
      <c r="A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26"/>
      <c r="AV345" s="11"/>
      <c r="AW345" s="11"/>
      <c r="A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26"/>
      <c r="AV346" s="11"/>
      <c r="AW346" s="11"/>
      <c r="A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26"/>
      <c r="AV347" s="11"/>
      <c r="AW347" s="11"/>
      <c r="A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26"/>
      <c r="AV348" s="11"/>
      <c r="AW348" s="11"/>
      <c r="A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26"/>
      <c r="AV349" s="11"/>
      <c r="AW349" s="11"/>
      <c r="A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26"/>
      <c r="AV350" s="11"/>
      <c r="AW350" s="11"/>
      <c r="A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26"/>
      <c r="AV351" s="11"/>
      <c r="AW351" s="11"/>
      <c r="A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26"/>
      <c r="AV352" s="11"/>
      <c r="AW352" s="11"/>
      <c r="A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26"/>
      <c r="AV353" s="11"/>
      <c r="AW353" s="11"/>
      <c r="A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26"/>
      <c r="AV354" s="11"/>
      <c r="AW354" s="11"/>
      <c r="A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26"/>
      <c r="AV355" s="11"/>
      <c r="AW355" s="11"/>
      <c r="A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26"/>
      <c r="AV356" s="11"/>
      <c r="AW356" s="11"/>
      <c r="A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26"/>
      <c r="AV357" s="11"/>
      <c r="AW357" s="11"/>
      <c r="A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26"/>
      <c r="AV358" s="11"/>
      <c r="AW358" s="11"/>
      <c r="A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26"/>
      <c r="AV359" s="11"/>
      <c r="AW359" s="11"/>
      <c r="A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26"/>
      <c r="AV360" s="11"/>
      <c r="AW360" s="11"/>
      <c r="A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26"/>
      <c r="AV361" s="11"/>
      <c r="AW361" s="11"/>
      <c r="A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26"/>
      <c r="AV362" s="11"/>
      <c r="AW362" s="11"/>
      <c r="A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26"/>
      <c r="AV363" s="11"/>
      <c r="AW363" s="11"/>
      <c r="A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26"/>
      <c r="AV364" s="11"/>
      <c r="AW364" s="11"/>
      <c r="A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26"/>
      <c r="AV365" s="11"/>
      <c r="AW365" s="11"/>
      <c r="A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26"/>
      <c r="AV366" s="11"/>
      <c r="AW366" s="11"/>
      <c r="A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26"/>
      <c r="AV367" s="11"/>
      <c r="AW367" s="11"/>
      <c r="A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26"/>
      <c r="AV368" s="11"/>
      <c r="AW368" s="11"/>
      <c r="A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26"/>
      <c r="AV369" s="11"/>
      <c r="AW369" s="11"/>
      <c r="A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26"/>
      <c r="AV370" s="11"/>
      <c r="AW370" s="11"/>
      <c r="A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26"/>
      <c r="AV371" s="11"/>
      <c r="AW371" s="11"/>
      <c r="A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26"/>
      <c r="AV372" s="11"/>
      <c r="AW372" s="11"/>
      <c r="A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26"/>
      <c r="AV373" s="11"/>
      <c r="AW373" s="11"/>
      <c r="A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26"/>
      <c r="AV374" s="11"/>
      <c r="AW374" s="11"/>
      <c r="A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26"/>
      <c r="AV375" s="11"/>
      <c r="AW375" s="11"/>
      <c r="A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26"/>
      <c r="AV376" s="11"/>
      <c r="AW376" s="11"/>
      <c r="A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26"/>
      <c r="AV377" s="11"/>
      <c r="AW377" s="11"/>
      <c r="A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26"/>
      <c r="AV378" s="11"/>
      <c r="AW378" s="11"/>
      <c r="A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26"/>
      <c r="AV379" s="11"/>
      <c r="AW379" s="11"/>
      <c r="A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26"/>
      <c r="AV380" s="11"/>
      <c r="AW380" s="11"/>
      <c r="A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26"/>
      <c r="AV381" s="11"/>
      <c r="AW381" s="11"/>
      <c r="A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26"/>
      <c r="AV382" s="11"/>
      <c r="AW382" s="11"/>
      <c r="A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26"/>
      <c r="AV383" s="11"/>
      <c r="AW383" s="11"/>
      <c r="A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26"/>
      <c r="AV384" s="11"/>
      <c r="AW384" s="11"/>
      <c r="A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26"/>
      <c r="AV385" s="11"/>
      <c r="AW385" s="11"/>
      <c r="A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26"/>
      <c r="AV386" s="11"/>
      <c r="AW386" s="11"/>
      <c r="A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26"/>
      <c r="AV387" s="11"/>
      <c r="AW387" s="11"/>
      <c r="A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26"/>
      <c r="AV388" s="11"/>
      <c r="AW388" s="11"/>
      <c r="A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26"/>
      <c r="AV389" s="11"/>
      <c r="AW389" s="11"/>
      <c r="A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26"/>
      <c r="AV390" s="11"/>
      <c r="AW390" s="11"/>
      <c r="A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26"/>
      <c r="AV391" s="11"/>
      <c r="AW391" s="11"/>
      <c r="A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26"/>
      <c r="AV392" s="11"/>
      <c r="AW392" s="11"/>
      <c r="A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26"/>
      <c r="AV393" s="11"/>
      <c r="AW393" s="11"/>
      <c r="A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26"/>
      <c r="AV394" s="11"/>
      <c r="AW394" s="11"/>
      <c r="A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26"/>
      <c r="AV395" s="11"/>
      <c r="AW395" s="11"/>
      <c r="A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26"/>
      <c r="AV396" s="11"/>
      <c r="AW396" s="11"/>
      <c r="A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26"/>
      <c r="AV397" s="11"/>
      <c r="AW397" s="11"/>
      <c r="A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26"/>
      <c r="AV398" s="11"/>
      <c r="AW398" s="11"/>
      <c r="A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26"/>
      <c r="AV399" s="11"/>
      <c r="AW399" s="11"/>
      <c r="A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26"/>
      <c r="AV400" s="11"/>
      <c r="AW400" s="11"/>
      <c r="A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26"/>
      <c r="AV401" s="11"/>
      <c r="AW401" s="11"/>
      <c r="A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26"/>
      <c r="AV402" s="11"/>
      <c r="AW402" s="11"/>
      <c r="A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26"/>
      <c r="AV403" s="11"/>
      <c r="AW403" s="11"/>
      <c r="A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26"/>
      <c r="AV404" s="11"/>
      <c r="AW404" s="11"/>
      <c r="A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26"/>
      <c r="AV405" s="11"/>
      <c r="AW405" s="11"/>
      <c r="A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26"/>
      <c r="AV406" s="11"/>
      <c r="AW406" s="11"/>
      <c r="A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26"/>
      <c r="AV407" s="11"/>
      <c r="AW407" s="11"/>
      <c r="A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26"/>
      <c r="AV408" s="11"/>
      <c r="AW408" s="11"/>
      <c r="A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26"/>
      <c r="AV409" s="11"/>
      <c r="AW409" s="11"/>
      <c r="A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26"/>
      <c r="AV410" s="11"/>
      <c r="AW410" s="11"/>
      <c r="A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26"/>
      <c r="AV411" s="11"/>
      <c r="AW411" s="11"/>
      <c r="A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26"/>
      <c r="AV412" s="11"/>
      <c r="AW412" s="11"/>
      <c r="A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26"/>
      <c r="AV413" s="11"/>
      <c r="AW413" s="11"/>
      <c r="A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26"/>
      <c r="AV414" s="11"/>
      <c r="AW414" s="11"/>
      <c r="A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26"/>
      <c r="AV415" s="11"/>
      <c r="AW415" s="11"/>
      <c r="A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26"/>
      <c r="AV416" s="11"/>
      <c r="AW416" s="11"/>
      <c r="A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26"/>
      <c r="AV417" s="11"/>
      <c r="AW417" s="11"/>
      <c r="A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26"/>
      <c r="AV418" s="11"/>
      <c r="AW418" s="11"/>
      <c r="A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26"/>
      <c r="AV419" s="11"/>
      <c r="AW419" s="11"/>
      <c r="A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26"/>
      <c r="AV420" s="11"/>
      <c r="AW420" s="11"/>
      <c r="A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26"/>
      <c r="AV421" s="11"/>
      <c r="AW421" s="11"/>
      <c r="A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26"/>
      <c r="AV422" s="11"/>
      <c r="AW422" s="11"/>
      <c r="A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26"/>
      <c r="AV423" s="11"/>
      <c r="AW423" s="11"/>
      <c r="A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26"/>
      <c r="AV424" s="11"/>
      <c r="AW424" s="11"/>
      <c r="A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26"/>
      <c r="AV425" s="11"/>
      <c r="AW425" s="11"/>
      <c r="A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26"/>
      <c r="AV426" s="11"/>
      <c r="AW426" s="11"/>
      <c r="A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26"/>
      <c r="AV427" s="11"/>
      <c r="AW427" s="11"/>
      <c r="A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26"/>
      <c r="AV428" s="11"/>
      <c r="AW428" s="11"/>
      <c r="A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26"/>
      <c r="AV429" s="11"/>
      <c r="AW429" s="11"/>
      <c r="A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26"/>
      <c r="AV430" s="11"/>
      <c r="AW430" s="11"/>
      <c r="A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26"/>
      <c r="AV431" s="11"/>
      <c r="AW431" s="11"/>
      <c r="A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26"/>
      <c r="AV432" s="11"/>
      <c r="AW432" s="11"/>
      <c r="A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26"/>
      <c r="AV433" s="11"/>
      <c r="AW433" s="11"/>
      <c r="A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26"/>
      <c r="AV434" s="11"/>
      <c r="AW434" s="11"/>
      <c r="A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26"/>
      <c r="AV435" s="11"/>
      <c r="AW435" s="11"/>
      <c r="A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26"/>
      <c r="AV436" s="11"/>
      <c r="AW436" s="11"/>
      <c r="A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26"/>
      <c r="AV437" s="11"/>
      <c r="AW437" s="11"/>
      <c r="A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26"/>
      <c r="AV438" s="11"/>
      <c r="AW438" s="11"/>
      <c r="A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26"/>
      <c r="AV439" s="11"/>
      <c r="AW439" s="11"/>
      <c r="A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26"/>
      <c r="AV440" s="11"/>
      <c r="AW440" s="11"/>
      <c r="A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26"/>
      <c r="AV441" s="11"/>
      <c r="AW441" s="11"/>
      <c r="A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26"/>
      <c r="AV442" s="11"/>
      <c r="AW442" s="11"/>
      <c r="A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26"/>
      <c r="AV443" s="11"/>
      <c r="AW443" s="11"/>
      <c r="A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26"/>
      <c r="AV444" s="11"/>
      <c r="AW444" s="11"/>
      <c r="A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26"/>
      <c r="AV445" s="11"/>
      <c r="AW445" s="11"/>
      <c r="A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26"/>
      <c r="AV446" s="11"/>
      <c r="AW446" s="11"/>
      <c r="A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26"/>
      <c r="AV447" s="11"/>
      <c r="AW447" s="11"/>
      <c r="A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26"/>
      <c r="AV448" s="11"/>
      <c r="AW448" s="11"/>
      <c r="A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26"/>
      <c r="AV449" s="11"/>
      <c r="AW449" s="11"/>
      <c r="A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26"/>
      <c r="AV450" s="11"/>
      <c r="AW450" s="11"/>
      <c r="A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26"/>
      <c r="AV451" s="11"/>
      <c r="AW451" s="11"/>
      <c r="A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26"/>
      <c r="AV452" s="11"/>
      <c r="AW452" s="11"/>
      <c r="A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26"/>
      <c r="AV453" s="11"/>
      <c r="AW453" s="11"/>
      <c r="A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26"/>
      <c r="AV454" s="11"/>
      <c r="AW454" s="11"/>
      <c r="A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26"/>
      <c r="AV455" s="11"/>
      <c r="AW455" s="11"/>
      <c r="A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26"/>
      <c r="AV456" s="11"/>
      <c r="AW456" s="11"/>
      <c r="A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26"/>
      <c r="AV457" s="11"/>
      <c r="AW457" s="11"/>
      <c r="A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26"/>
      <c r="AV458" s="11"/>
      <c r="AW458" s="11"/>
      <c r="A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26"/>
      <c r="AV459" s="11"/>
      <c r="AW459" s="11"/>
      <c r="A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26"/>
      <c r="AV460" s="11"/>
      <c r="AW460" s="11"/>
      <c r="A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26"/>
      <c r="AV461" s="11"/>
      <c r="AW461" s="11"/>
      <c r="A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26"/>
      <c r="AV462" s="11"/>
      <c r="AW462" s="11"/>
      <c r="A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26"/>
      <c r="AV463" s="11"/>
      <c r="AW463" s="11"/>
      <c r="A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26"/>
      <c r="AV464" s="11"/>
      <c r="AW464" s="11"/>
      <c r="A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26"/>
      <c r="AV465" s="11"/>
      <c r="AW465" s="11"/>
      <c r="A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26"/>
      <c r="AV466" s="11"/>
      <c r="AW466" s="11"/>
      <c r="A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26"/>
      <c r="AV467" s="11"/>
      <c r="AW467" s="11"/>
      <c r="A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26"/>
      <c r="AV468" s="11"/>
      <c r="AW468" s="11"/>
      <c r="A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26"/>
      <c r="AV469" s="11"/>
      <c r="AW469" s="11"/>
      <c r="A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26"/>
      <c r="AV470" s="11"/>
      <c r="AW470" s="11"/>
      <c r="A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26"/>
      <c r="AV471" s="11"/>
      <c r="AW471" s="11"/>
      <c r="A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26"/>
      <c r="AV472" s="11"/>
      <c r="AW472" s="11"/>
      <c r="A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26"/>
      <c r="AV473" s="11"/>
      <c r="AW473" s="11"/>
      <c r="A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26"/>
      <c r="AV474" s="11"/>
      <c r="AW474" s="11"/>
      <c r="A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26"/>
      <c r="AV475" s="11"/>
      <c r="AW475" s="11"/>
      <c r="A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26"/>
      <c r="AV476" s="11"/>
      <c r="AW476" s="11"/>
      <c r="A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26"/>
      <c r="AV477" s="11"/>
      <c r="AW477" s="11"/>
      <c r="A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26"/>
      <c r="AV478" s="11"/>
      <c r="AW478" s="11"/>
      <c r="A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26"/>
      <c r="AV479" s="11"/>
      <c r="AW479" s="11"/>
      <c r="A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26"/>
      <c r="AV480" s="11"/>
      <c r="AW480" s="11"/>
      <c r="A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26"/>
      <c r="AV481" s="11"/>
      <c r="AW481" s="11"/>
      <c r="A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26"/>
      <c r="AV482" s="11"/>
      <c r="AW482" s="11"/>
      <c r="A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26"/>
      <c r="AV483" s="11"/>
      <c r="AW483" s="11"/>
      <c r="A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26"/>
      <c r="AV484" s="11"/>
      <c r="AW484" s="11"/>
      <c r="A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26"/>
      <c r="AV485" s="11"/>
      <c r="AW485" s="11"/>
      <c r="A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26"/>
      <c r="AV486" s="11"/>
      <c r="AW486" s="11"/>
      <c r="A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26"/>
      <c r="AV487" s="11"/>
      <c r="AW487" s="11"/>
      <c r="A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26"/>
      <c r="AV488" s="11"/>
      <c r="AW488" s="11"/>
      <c r="A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26"/>
      <c r="AV489" s="11"/>
      <c r="AW489" s="11"/>
      <c r="A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26"/>
      <c r="AV490" s="11"/>
      <c r="AW490" s="11"/>
      <c r="A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26"/>
      <c r="AV491" s="11"/>
      <c r="AW491" s="11"/>
      <c r="A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26"/>
      <c r="AV492" s="11"/>
      <c r="AW492" s="11"/>
      <c r="A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26"/>
      <c r="AV493" s="11"/>
      <c r="AW493" s="11"/>
      <c r="A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26"/>
      <c r="AV494" s="11"/>
      <c r="AW494" s="11"/>
      <c r="A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26"/>
      <c r="AV495" s="11"/>
      <c r="AW495" s="11"/>
      <c r="A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26"/>
      <c r="AV496" s="11"/>
      <c r="AW496" s="11"/>
      <c r="A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26"/>
      <c r="AV497" s="11"/>
      <c r="AW497" s="11"/>
      <c r="A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26"/>
      <c r="AV498" s="11"/>
      <c r="AW498" s="11"/>
      <c r="A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26"/>
      <c r="AV499" s="11"/>
      <c r="AW499" s="11"/>
      <c r="A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26"/>
      <c r="AV500" s="11"/>
      <c r="AW500" s="11"/>
      <c r="A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26"/>
      <c r="AV501" s="11"/>
      <c r="AW501" s="11"/>
      <c r="A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26"/>
      <c r="AV502" s="11"/>
      <c r="AW502" s="11"/>
      <c r="A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26"/>
      <c r="AV503" s="11"/>
      <c r="AW503" s="11"/>
      <c r="A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26"/>
      <c r="AV504" s="11"/>
      <c r="AW504" s="11"/>
      <c r="A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26"/>
      <c r="AV505" s="11"/>
      <c r="AW505" s="11"/>
      <c r="A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26"/>
      <c r="AV506" s="11"/>
      <c r="AW506" s="11"/>
      <c r="A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26"/>
      <c r="AV507" s="11"/>
      <c r="AW507" s="11"/>
      <c r="A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26"/>
      <c r="AV508" s="11"/>
      <c r="AW508" s="11"/>
      <c r="A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26"/>
      <c r="AV509" s="11"/>
      <c r="AW509" s="11"/>
      <c r="A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26"/>
      <c r="AV510" s="11"/>
      <c r="AW510" s="11"/>
      <c r="A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26"/>
      <c r="AV511" s="11"/>
      <c r="AW511" s="11"/>
      <c r="A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26"/>
      <c r="AV512" s="11"/>
      <c r="AW512" s="11"/>
      <c r="A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26"/>
      <c r="AV513" s="11"/>
      <c r="AW513" s="11"/>
      <c r="A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26"/>
      <c r="AV514" s="11"/>
      <c r="AW514" s="11"/>
      <c r="A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26"/>
      <c r="AV515" s="11"/>
      <c r="AW515" s="11"/>
      <c r="A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26"/>
      <c r="AV516" s="11"/>
      <c r="AW516" s="11"/>
      <c r="A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26"/>
      <c r="AV517" s="11"/>
      <c r="AW517" s="11"/>
      <c r="A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26"/>
      <c r="AV518" s="11"/>
      <c r="AW518" s="11"/>
      <c r="A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26"/>
      <c r="AV519" s="11"/>
      <c r="AW519" s="11"/>
      <c r="A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26"/>
      <c r="AV520" s="11"/>
      <c r="AW520" s="11"/>
      <c r="A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26"/>
      <c r="AV521" s="11"/>
      <c r="AW521" s="11"/>
      <c r="A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26"/>
      <c r="AV522" s="11"/>
      <c r="AW522" s="11"/>
      <c r="A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26"/>
      <c r="AV523" s="11"/>
      <c r="AW523" s="11"/>
      <c r="A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26"/>
      <c r="AV524" s="11"/>
      <c r="AW524" s="11"/>
      <c r="A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26"/>
      <c r="AV525" s="11"/>
      <c r="AW525" s="11"/>
      <c r="A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26"/>
      <c r="AV526" s="11"/>
      <c r="AW526" s="11"/>
      <c r="A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26"/>
      <c r="AV527" s="11"/>
      <c r="AW527" s="11"/>
      <c r="A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26"/>
      <c r="AV528" s="11"/>
      <c r="AW528" s="11"/>
      <c r="A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26"/>
      <c r="AV529" s="11"/>
      <c r="AW529" s="11"/>
      <c r="A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26"/>
      <c r="AV530" s="11"/>
      <c r="AW530" s="11"/>
      <c r="A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26"/>
      <c r="AV531" s="11"/>
      <c r="AW531" s="11"/>
      <c r="A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26"/>
      <c r="AV532" s="11"/>
      <c r="AW532" s="11"/>
      <c r="A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26"/>
      <c r="AV533" s="11"/>
      <c r="AW533" s="11"/>
      <c r="A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26"/>
      <c r="AV534" s="11"/>
      <c r="AW534" s="11"/>
      <c r="A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26"/>
      <c r="AV535" s="11"/>
      <c r="AW535" s="11"/>
      <c r="A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26"/>
      <c r="AV536" s="11"/>
      <c r="AW536" s="11"/>
      <c r="A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26"/>
      <c r="AV537" s="11"/>
      <c r="AW537" s="11"/>
      <c r="A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26"/>
      <c r="AV538" s="11"/>
      <c r="AW538" s="11"/>
      <c r="A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26"/>
      <c r="AV539" s="11"/>
      <c r="AW539" s="11"/>
      <c r="A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26"/>
      <c r="AV540" s="11"/>
      <c r="AW540" s="11"/>
      <c r="A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26"/>
      <c r="AV541" s="11"/>
      <c r="AW541" s="11"/>
      <c r="A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26"/>
      <c r="AV542" s="11"/>
      <c r="AW542" s="11"/>
      <c r="A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26"/>
      <c r="AV543" s="11"/>
      <c r="AW543" s="11"/>
      <c r="A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26"/>
      <c r="AV544" s="11"/>
      <c r="AW544" s="11"/>
      <c r="A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26"/>
      <c r="AV545" s="11"/>
      <c r="AW545" s="11"/>
      <c r="A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26"/>
      <c r="AV546" s="11"/>
      <c r="AW546" s="11"/>
      <c r="A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26"/>
      <c r="AV547" s="11"/>
      <c r="AW547" s="11"/>
      <c r="A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26"/>
      <c r="AV548" s="11"/>
      <c r="AW548" s="11"/>
      <c r="A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26"/>
      <c r="AV549" s="11"/>
      <c r="AW549" s="11"/>
      <c r="A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26"/>
      <c r="AV550" s="11"/>
      <c r="AW550" s="11"/>
      <c r="A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26"/>
      <c r="AV551" s="11"/>
      <c r="AW551" s="11"/>
      <c r="A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26"/>
      <c r="AV552" s="11"/>
      <c r="AW552" s="11"/>
      <c r="A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26"/>
      <c r="AV553" s="11"/>
      <c r="AW553" s="11"/>
      <c r="A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26"/>
      <c r="AV554" s="11"/>
      <c r="AW554" s="11"/>
      <c r="A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26"/>
      <c r="AV555" s="11"/>
      <c r="AW555" s="11"/>
      <c r="A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26"/>
      <c r="AV556" s="11"/>
      <c r="AW556" s="11"/>
      <c r="A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26"/>
      <c r="AV557" s="11"/>
      <c r="AW557" s="11"/>
      <c r="A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26"/>
      <c r="AV558" s="11"/>
      <c r="AW558" s="11"/>
      <c r="A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26"/>
      <c r="AV559" s="11"/>
      <c r="AW559" s="11"/>
      <c r="A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26"/>
      <c r="AV560" s="11"/>
      <c r="AW560" s="11"/>
      <c r="A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26"/>
      <c r="AV561" s="11"/>
      <c r="AW561" s="11"/>
      <c r="A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26"/>
      <c r="AV562" s="11"/>
      <c r="AW562" s="11"/>
      <c r="A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26"/>
      <c r="AV563" s="11"/>
      <c r="AW563" s="11"/>
      <c r="A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26"/>
      <c r="AV564" s="11"/>
      <c r="AW564" s="11"/>
      <c r="A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26"/>
      <c r="AV565" s="11"/>
      <c r="AW565" s="11"/>
      <c r="A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26"/>
      <c r="AV566" s="11"/>
      <c r="AW566" s="11"/>
      <c r="A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26"/>
      <c r="AV567" s="11"/>
      <c r="AW567" s="11"/>
      <c r="A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26"/>
      <c r="AV568" s="11"/>
      <c r="AW568" s="11"/>
      <c r="A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26"/>
      <c r="AV569" s="11"/>
      <c r="AW569" s="11"/>
      <c r="A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26"/>
      <c r="AV570" s="11"/>
      <c r="AW570" s="11"/>
      <c r="A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26"/>
      <c r="AV571" s="11"/>
      <c r="AW571" s="11"/>
      <c r="A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26"/>
      <c r="AV572" s="11"/>
      <c r="AW572" s="11"/>
      <c r="A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26"/>
      <c r="AV573" s="11"/>
      <c r="AW573" s="11"/>
      <c r="A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26"/>
      <c r="AV574" s="11"/>
      <c r="AW574" s="11"/>
      <c r="A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26"/>
      <c r="AV575" s="11"/>
      <c r="AW575" s="11"/>
      <c r="A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26"/>
      <c r="AV576" s="11"/>
      <c r="AW576" s="11"/>
      <c r="A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26"/>
      <c r="AV577" s="11"/>
      <c r="AW577" s="11"/>
      <c r="A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26"/>
      <c r="AV578" s="11"/>
      <c r="AW578" s="11"/>
      <c r="A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26"/>
      <c r="AV579" s="11"/>
      <c r="AW579" s="11"/>
      <c r="A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26"/>
      <c r="AV580" s="11"/>
      <c r="AW580" s="11"/>
      <c r="A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26"/>
      <c r="AV581" s="11"/>
      <c r="AW581" s="11"/>
      <c r="A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26"/>
      <c r="AV582" s="11"/>
      <c r="AW582" s="11"/>
      <c r="A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26"/>
      <c r="AV583" s="11"/>
      <c r="AW583" s="11"/>
      <c r="A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26"/>
      <c r="AV584" s="11"/>
      <c r="AW584" s="11"/>
      <c r="A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26"/>
      <c r="AV585" s="11"/>
      <c r="AW585" s="11"/>
      <c r="A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26"/>
      <c r="AV586" s="11"/>
      <c r="AW586" s="11"/>
      <c r="A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26"/>
      <c r="AV587" s="11"/>
      <c r="AW587" s="11"/>
      <c r="A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26"/>
      <c r="AV588" s="11"/>
      <c r="AW588" s="11"/>
      <c r="A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26"/>
      <c r="AV589" s="11"/>
      <c r="AW589" s="11"/>
      <c r="A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26"/>
      <c r="AV590" s="11"/>
      <c r="AW590" s="11"/>
      <c r="A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26"/>
      <c r="AV591" s="11"/>
      <c r="AW591" s="11"/>
      <c r="A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26"/>
      <c r="AV592" s="11"/>
      <c r="AW592" s="11"/>
      <c r="A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26"/>
      <c r="AV593" s="11"/>
      <c r="AW593" s="11"/>
      <c r="A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26"/>
      <c r="AV594" s="11"/>
      <c r="AW594" s="11"/>
      <c r="A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26"/>
      <c r="AV595" s="11"/>
      <c r="AW595" s="11"/>
      <c r="A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26"/>
      <c r="AV596" s="11"/>
      <c r="AW596" s="11"/>
      <c r="A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26"/>
      <c r="AV597" s="11"/>
      <c r="AW597" s="11"/>
      <c r="A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26"/>
      <c r="AV598" s="11"/>
      <c r="AW598" s="11"/>
      <c r="A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26"/>
      <c r="AV599" s="11"/>
      <c r="AW599" s="11"/>
      <c r="A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26"/>
      <c r="AV600" s="11"/>
      <c r="AW600" s="11"/>
      <c r="A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26"/>
      <c r="AV601" s="11"/>
      <c r="AW601" s="11"/>
      <c r="A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26"/>
      <c r="AV602" s="11"/>
      <c r="AW602" s="11"/>
      <c r="A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26"/>
      <c r="AV603" s="11"/>
      <c r="AW603" s="11"/>
      <c r="A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26"/>
      <c r="AV604" s="11"/>
      <c r="AW604" s="11"/>
      <c r="A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26"/>
      <c r="AV605" s="11"/>
      <c r="AW605" s="11"/>
      <c r="A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26"/>
      <c r="AV606" s="11"/>
      <c r="AW606" s="11"/>
      <c r="A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26"/>
      <c r="AV607" s="11"/>
      <c r="AW607" s="11"/>
      <c r="A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26"/>
      <c r="AV608" s="11"/>
      <c r="AW608" s="11"/>
      <c r="A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26"/>
      <c r="AV609" s="11"/>
      <c r="AW609" s="11"/>
      <c r="A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26"/>
      <c r="AV610" s="11"/>
      <c r="AW610" s="11"/>
      <c r="A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26"/>
      <c r="AV611" s="11"/>
      <c r="AW611" s="11"/>
      <c r="A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26"/>
      <c r="AV612" s="11"/>
      <c r="AW612" s="11"/>
      <c r="A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26"/>
      <c r="AV613" s="11"/>
      <c r="AW613" s="11"/>
      <c r="A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26"/>
      <c r="AV614" s="11"/>
      <c r="AW614" s="11"/>
      <c r="A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26"/>
      <c r="AV615" s="11"/>
      <c r="AW615" s="11"/>
      <c r="A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26"/>
      <c r="AV616" s="11"/>
      <c r="AW616" s="11"/>
      <c r="A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26"/>
      <c r="AV617" s="11"/>
      <c r="AW617" s="11"/>
      <c r="A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26"/>
      <c r="AV618" s="11"/>
      <c r="AW618" s="11"/>
      <c r="A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26"/>
      <c r="AV619" s="11"/>
      <c r="AW619" s="11"/>
      <c r="A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26"/>
      <c r="AV620" s="11"/>
      <c r="AW620" s="11"/>
      <c r="A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26"/>
      <c r="AV621" s="11"/>
      <c r="AW621" s="11"/>
      <c r="A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26"/>
      <c r="AV622" s="11"/>
      <c r="AW622" s="11"/>
      <c r="A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26"/>
      <c r="AV623" s="11"/>
      <c r="AW623" s="11"/>
      <c r="A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26"/>
      <c r="AV624" s="11"/>
      <c r="AW624" s="11"/>
      <c r="A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26"/>
      <c r="AV625" s="11"/>
      <c r="AW625" s="11"/>
      <c r="A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26"/>
      <c r="AV626" s="11"/>
      <c r="AW626" s="11"/>
      <c r="A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26"/>
      <c r="AV627" s="11"/>
      <c r="AW627" s="11"/>
      <c r="A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26"/>
      <c r="AV628" s="11"/>
      <c r="AW628" s="11"/>
      <c r="A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26"/>
      <c r="AV629" s="11"/>
      <c r="AW629" s="11"/>
      <c r="A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26"/>
      <c r="AV630" s="11"/>
      <c r="AW630" s="11"/>
      <c r="A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26"/>
      <c r="AV631" s="11"/>
      <c r="AW631" s="11"/>
      <c r="A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26"/>
      <c r="AV632" s="11"/>
      <c r="AW632" s="11"/>
      <c r="A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26"/>
      <c r="AV633" s="11"/>
      <c r="AW633" s="11"/>
      <c r="A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26"/>
      <c r="AV634" s="11"/>
      <c r="AW634" s="11"/>
      <c r="A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26"/>
      <c r="AV635" s="11"/>
      <c r="AW635" s="11"/>
      <c r="A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26"/>
      <c r="AV636" s="11"/>
      <c r="AW636" s="11"/>
      <c r="A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26"/>
      <c r="AV637" s="11"/>
      <c r="AW637" s="11"/>
      <c r="A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26"/>
      <c r="AV638" s="11"/>
      <c r="AW638" s="11"/>
      <c r="A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26"/>
      <c r="AV639" s="11"/>
      <c r="AW639" s="11"/>
      <c r="A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26"/>
      <c r="AV640" s="11"/>
      <c r="AW640" s="11"/>
      <c r="A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26"/>
      <c r="AV641" s="11"/>
      <c r="AW641" s="11"/>
      <c r="A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26"/>
      <c r="AV642" s="11"/>
      <c r="AW642" s="11"/>
      <c r="A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26"/>
      <c r="AV643" s="11"/>
      <c r="AW643" s="11"/>
      <c r="A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26"/>
      <c r="AV644" s="11"/>
      <c r="AW644" s="11"/>
      <c r="A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26"/>
      <c r="AV645" s="11"/>
      <c r="AW645" s="11"/>
      <c r="A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26"/>
      <c r="AV646" s="11"/>
      <c r="AW646" s="11"/>
      <c r="A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26"/>
      <c r="AV647" s="11"/>
      <c r="AW647" s="11"/>
      <c r="A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26"/>
      <c r="AV648" s="11"/>
      <c r="AW648" s="11"/>
      <c r="A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26"/>
      <c r="AV649" s="11"/>
      <c r="AW649" s="11"/>
      <c r="A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26"/>
      <c r="AV650" s="11"/>
      <c r="AW650" s="11"/>
      <c r="A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26"/>
      <c r="AV651" s="11"/>
      <c r="AW651" s="11"/>
      <c r="A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26"/>
      <c r="AV652" s="11"/>
      <c r="AW652" s="11"/>
      <c r="A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26"/>
      <c r="AV653" s="11"/>
      <c r="AW653" s="11"/>
      <c r="A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26"/>
      <c r="AV654" s="11"/>
      <c r="AW654" s="11"/>
      <c r="A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26"/>
      <c r="AV655" s="11"/>
      <c r="AW655" s="11"/>
      <c r="A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26"/>
      <c r="AV656" s="11"/>
      <c r="AW656" s="11"/>
      <c r="A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26"/>
      <c r="AV657" s="11"/>
      <c r="AW657" s="11"/>
      <c r="A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26"/>
      <c r="AV658" s="11"/>
      <c r="AW658" s="11"/>
      <c r="A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26"/>
      <c r="AV659" s="11"/>
      <c r="AW659" s="11"/>
      <c r="A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26"/>
      <c r="AV660" s="11"/>
      <c r="AW660" s="11"/>
      <c r="A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26"/>
      <c r="AV661" s="11"/>
      <c r="AW661" s="11"/>
      <c r="A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26"/>
      <c r="AV662" s="11"/>
      <c r="AW662" s="11"/>
      <c r="A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26"/>
      <c r="AV663" s="11"/>
      <c r="AW663" s="11"/>
      <c r="A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26"/>
      <c r="AV664" s="11"/>
      <c r="AW664" s="11"/>
      <c r="A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26"/>
      <c r="AV665" s="11"/>
      <c r="AW665" s="11"/>
      <c r="A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26"/>
      <c r="AV666" s="11"/>
      <c r="AW666" s="11"/>
      <c r="A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26"/>
      <c r="AV667" s="11"/>
      <c r="AW667" s="11"/>
      <c r="A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26"/>
      <c r="AV668" s="11"/>
      <c r="AW668" s="11"/>
      <c r="A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26"/>
      <c r="AV669" s="11"/>
      <c r="AW669" s="11"/>
      <c r="A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26"/>
      <c r="AV670" s="11"/>
      <c r="AW670" s="11"/>
      <c r="A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26"/>
      <c r="AV671" s="11"/>
      <c r="AW671" s="11"/>
      <c r="A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26"/>
      <c r="AV672" s="11"/>
      <c r="AW672" s="11"/>
      <c r="A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26"/>
      <c r="AV673" s="11"/>
      <c r="AW673" s="11"/>
      <c r="A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26"/>
      <c r="AV674" s="11"/>
      <c r="AW674" s="11"/>
      <c r="A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26"/>
      <c r="AV675" s="11"/>
      <c r="AW675" s="11"/>
      <c r="A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26"/>
      <c r="AV676" s="11"/>
      <c r="AW676" s="11"/>
      <c r="A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26"/>
      <c r="AV677" s="11"/>
      <c r="AW677" s="11"/>
      <c r="A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26"/>
      <c r="AV678" s="11"/>
      <c r="AW678" s="11"/>
      <c r="A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26"/>
      <c r="AV679" s="11"/>
      <c r="AW679" s="11"/>
      <c r="A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26"/>
      <c r="AV680" s="11"/>
      <c r="AW680" s="11"/>
      <c r="A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26"/>
      <c r="AV681" s="11"/>
      <c r="AW681" s="11"/>
      <c r="A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26"/>
      <c r="AV682" s="11"/>
      <c r="AW682" s="11"/>
      <c r="A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26"/>
      <c r="AV683" s="11"/>
      <c r="AW683" s="11"/>
      <c r="A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26"/>
      <c r="AV684" s="11"/>
      <c r="AW684" s="11"/>
      <c r="A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26"/>
      <c r="AV685" s="11"/>
      <c r="AW685" s="11"/>
      <c r="A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26"/>
      <c r="AV686" s="11"/>
      <c r="AW686" s="11"/>
      <c r="A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26"/>
      <c r="AV687" s="11"/>
      <c r="AW687" s="11"/>
      <c r="A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26"/>
      <c r="AV688" s="11"/>
      <c r="AW688" s="11"/>
      <c r="A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26"/>
      <c r="AV689" s="11"/>
      <c r="AW689" s="11"/>
      <c r="A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26"/>
      <c r="AV690" s="11"/>
      <c r="AW690" s="11"/>
      <c r="A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26"/>
      <c r="AV691" s="11"/>
      <c r="AW691" s="11"/>
      <c r="A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26"/>
      <c r="AV692" s="11"/>
      <c r="AW692" s="11"/>
      <c r="A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26"/>
      <c r="AV693" s="11"/>
      <c r="AW693" s="11"/>
      <c r="A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26"/>
      <c r="AV694" s="11"/>
      <c r="AW694" s="11"/>
      <c r="A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26"/>
      <c r="AV695" s="11"/>
      <c r="AW695" s="11"/>
      <c r="A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26"/>
      <c r="AV696" s="11"/>
      <c r="AW696" s="11"/>
      <c r="A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26"/>
      <c r="AV697" s="11"/>
      <c r="AW697" s="11"/>
      <c r="A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26"/>
      <c r="AV698" s="11"/>
      <c r="AW698" s="11"/>
      <c r="A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26"/>
      <c r="AV699" s="11"/>
      <c r="AW699" s="11"/>
      <c r="A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26"/>
      <c r="AV700" s="11"/>
      <c r="AW700" s="11"/>
      <c r="A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26"/>
      <c r="AV701" s="11"/>
      <c r="AW701" s="11"/>
      <c r="A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26"/>
      <c r="AV702" s="11"/>
      <c r="AW702" s="11"/>
      <c r="A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26"/>
      <c r="AV703" s="11"/>
      <c r="AW703" s="11"/>
      <c r="A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26"/>
      <c r="AV704" s="11"/>
      <c r="AW704" s="11"/>
      <c r="A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26"/>
      <c r="AV705" s="11"/>
      <c r="AW705" s="11"/>
      <c r="A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26"/>
      <c r="AV706" s="11"/>
      <c r="AW706" s="11"/>
      <c r="A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26"/>
      <c r="AV707" s="11"/>
      <c r="AW707" s="11"/>
      <c r="A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26"/>
      <c r="AV708" s="11"/>
      <c r="AW708" s="11"/>
      <c r="A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26"/>
      <c r="AV709" s="11"/>
      <c r="AW709" s="11"/>
      <c r="A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26"/>
      <c r="AV710" s="11"/>
      <c r="AW710" s="11"/>
      <c r="A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26"/>
      <c r="AV711" s="11"/>
      <c r="AW711" s="11"/>
      <c r="A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26"/>
      <c r="AV712" s="11"/>
      <c r="AW712" s="11"/>
      <c r="A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26"/>
      <c r="AV713" s="11"/>
      <c r="AW713" s="11"/>
      <c r="A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26"/>
      <c r="AV714" s="11"/>
      <c r="AW714" s="11"/>
      <c r="A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26"/>
      <c r="AV715" s="11"/>
      <c r="AW715" s="11"/>
      <c r="A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26"/>
      <c r="AV716" s="11"/>
      <c r="AW716" s="11"/>
      <c r="A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26"/>
      <c r="AV717" s="11"/>
      <c r="AW717" s="11"/>
      <c r="A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26"/>
      <c r="AV718" s="11"/>
      <c r="AW718" s="11"/>
      <c r="A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26"/>
      <c r="AV719" s="11"/>
      <c r="AW719" s="11"/>
      <c r="A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26"/>
      <c r="AV720" s="11"/>
      <c r="AW720" s="11"/>
      <c r="A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26"/>
      <c r="AV721" s="11"/>
      <c r="AW721" s="11"/>
      <c r="A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26"/>
      <c r="AV722" s="11"/>
      <c r="AW722" s="11"/>
      <c r="A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26"/>
      <c r="AV723" s="11"/>
      <c r="AW723" s="11"/>
      <c r="A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26"/>
      <c r="AV724" s="11"/>
      <c r="AW724" s="11"/>
      <c r="A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26"/>
      <c r="AV725" s="11"/>
      <c r="AW725" s="11"/>
      <c r="A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26"/>
      <c r="AV726" s="11"/>
      <c r="AW726" s="11"/>
      <c r="A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26"/>
      <c r="AV727" s="11"/>
      <c r="AW727" s="11"/>
      <c r="A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26"/>
      <c r="AV728" s="11"/>
      <c r="AW728" s="11"/>
      <c r="A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26"/>
      <c r="AV729" s="11"/>
      <c r="AW729" s="11"/>
      <c r="A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26"/>
      <c r="AV730" s="11"/>
      <c r="AW730" s="11"/>
      <c r="A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26"/>
      <c r="AV731" s="11"/>
      <c r="AW731" s="11"/>
      <c r="A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26"/>
      <c r="AV732" s="11"/>
      <c r="AW732" s="11"/>
      <c r="A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26"/>
      <c r="AV733" s="11"/>
      <c r="AW733" s="11"/>
      <c r="A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26"/>
      <c r="AV734" s="11"/>
      <c r="AW734" s="11"/>
      <c r="A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26"/>
      <c r="AV735" s="11"/>
      <c r="AW735" s="11"/>
      <c r="A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26"/>
      <c r="AV736" s="11"/>
      <c r="AW736" s="11"/>
      <c r="A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26"/>
      <c r="AV737" s="11"/>
      <c r="AW737" s="11"/>
      <c r="A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26"/>
      <c r="AV738" s="11"/>
      <c r="AW738" s="11"/>
      <c r="A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26"/>
      <c r="AV739" s="11"/>
      <c r="AW739" s="11"/>
      <c r="A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26"/>
      <c r="AV740" s="11"/>
      <c r="AW740" s="11"/>
      <c r="A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26"/>
      <c r="AV741" s="11"/>
      <c r="AW741" s="11"/>
      <c r="A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26"/>
      <c r="AV742" s="11"/>
      <c r="AW742" s="11"/>
      <c r="A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26"/>
      <c r="AV743" s="11"/>
      <c r="AW743" s="11"/>
      <c r="A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26"/>
      <c r="AV744" s="11"/>
      <c r="AW744" s="11"/>
      <c r="A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26"/>
      <c r="AV745" s="11"/>
      <c r="AW745" s="11"/>
      <c r="A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26"/>
      <c r="AV746" s="11"/>
      <c r="AW746" s="11"/>
      <c r="A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26"/>
      <c r="AV747" s="11"/>
      <c r="AW747" s="11"/>
      <c r="A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26"/>
      <c r="AV748" s="11"/>
      <c r="AW748" s="11"/>
      <c r="A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26"/>
      <c r="AV749" s="11"/>
      <c r="AW749" s="11"/>
      <c r="A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26"/>
      <c r="AV750" s="11"/>
      <c r="AW750" s="11"/>
      <c r="A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26"/>
      <c r="AV751" s="11"/>
      <c r="AW751" s="11"/>
      <c r="A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26"/>
      <c r="AV752" s="11"/>
      <c r="AW752" s="11"/>
      <c r="A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26"/>
      <c r="AV753" s="11"/>
      <c r="AW753" s="11"/>
      <c r="A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26"/>
      <c r="AV754" s="11"/>
      <c r="AW754" s="11"/>
      <c r="A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26"/>
      <c r="AV755" s="11"/>
      <c r="AW755" s="11"/>
      <c r="A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26"/>
      <c r="AV756" s="11"/>
      <c r="AW756" s="11"/>
      <c r="A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26"/>
      <c r="AV757" s="11"/>
      <c r="AW757" s="11"/>
      <c r="A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26"/>
      <c r="AV758" s="11"/>
      <c r="AW758" s="11"/>
      <c r="A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26"/>
      <c r="AV759" s="11"/>
      <c r="AW759" s="11"/>
      <c r="A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26"/>
      <c r="AV760" s="11"/>
      <c r="AW760" s="11"/>
      <c r="A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26"/>
      <c r="AV761" s="11"/>
      <c r="AW761" s="11"/>
      <c r="A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26"/>
      <c r="AV762" s="11"/>
      <c r="AW762" s="11"/>
      <c r="A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26"/>
      <c r="AV763" s="11"/>
      <c r="AW763" s="11"/>
      <c r="A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26"/>
      <c r="AV764" s="11"/>
      <c r="AW764" s="11"/>
      <c r="A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26"/>
      <c r="AV765" s="11"/>
      <c r="AW765" s="11"/>
      <c r="A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26"/>
      <c r="AV766" s="11"/>
      <c r="AW766" s="11"/>
      <c r="A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26"/>
      <c r="AV767" s="11"/>
      <c r="AW767" s="11"/>
      <c r="A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26"/>
      <c r="AV768" s="11"/>
      <c r="AW768" s="11"/>
      <c r="A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26"/>
      <c r="AV769" s="11"/>
      <c r="AW769" s="11"/>
      <c r="A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26"/>
      <c r="AV770" s="11"/>
      <c r="AW770" s="11"/>
      <c r="A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26"/>
      <c r="AV771" s="11"/>
      <c r="AW771" s="11"/>
      <c r="A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26"/>
      <c r="AV772" s="11"/>
      <c r="AW772" s="11"/>
      <c r="A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26"/>
      <c r="AV773" s="11"/>
      <c r="AW773" s="11"/>
      <c r="A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26"/>
      <c r="AV774" s="11"/>
      <c r="AW774" s="11"/>
      <c r="A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26"/>
      <c r="AV775" s="11"/>
      <c r="AW775" s="11"/>
      <c r="A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26"/>
      <c r="AV776" s="11"/>
      <c r="AW776" s="11"/>
      <c r="A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26"/>
      <c r="AV777" s="11"/>
      <c r="AW777" s="11"/>
      <c r="A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26"/>
      <c r="AV778" s="11"/>
      <c r="AW778" s="11"/>
      <c r="A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26"/>
      <c r="AV779" s="11"/>
      <c r="AW779" s="11"/>
      <c r="A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26"/>
      <c r="AV780" s="11"/>
      <c r="AW780" s="11"/>
      <c r="A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26"/>
      <c r="AV781" s="11"/>
      <c r="AW781" s="11"/>
      <c r="A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26"/>
      <c r="AV782" s="11"/>
      <c r="AW782" s="11"/>
      <c r="A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26"/>
      <c r="AV783" s="11"/>
      <c r="AW783" s="11"/>
      <c r="A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26"/>
      <c r="AV784" s="11"/>
      <c r="AW784" s="11"/>
      <c r="A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26"/>
      <c r="AV785" s="11"/>
      <c r="AW785" s="11"/>
      <c r="A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26"/>
      <c r="AV786" s="11"/>
      <c r="AW786" s="11"/>
      <c r="A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26"/>
      <c r="AV787" s="11"/>
      <c r="AW787" s="11"/>
      <c r="A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26"/>
      <c r="AV788" s="11"/>
      <c r="AW788" s="11"/>
      <c r="A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26"/>
      <c r="AV789" s="11"/>
      <c r="AW789" s="11"/>
      <c r="A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26"/>
      <c r="AV790" s="11"/>
      <c r="AW790" s="11"/>
      <c r="A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26"/>
      <c r="AV791" s="11"/>
      <c r="AW791" s="11"/>
      <c r="AX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26"/>
      <c r="AV792" s="11"/>
      <c r="AW792" s="11"/>
      <c r="AX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26"/>
      <c r="AV793" s="11"/>
      <c r="AW793" s="11"/>
      <c r="AX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26"/>
      <c r="AV794" s="11"/>
      <c r="AW794" s="11"/>
      <c r="AX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26"/>
      <c r="AV795" s="11"/>
      <c r="AW795" s="11"/>
      <c r="AX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26"/>
      <c r="AV796" s="11"/>
      <c r="AW796" s="11"/>
      <c r="AX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26"/>
      <c r="AV797" s="11"/>
      <c r="AW797" s="11"/>
      <c r="AX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26"/>
      <c r="AV798" s="11"/>
      <c r="AW798" s="11"/>
      <c r="AX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26"/>
      <c r="AV799" s="11"/>
      <c r="AW799" s="11"/>
      <c r="AX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26"/>
      <c r="AV800" s="11"/>
      <c r="AW800" s="11"/>
      <c r="AX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26"/>
      <c r="AV801" s="11"/>
      <c r="AW801" s="11"/>
      <c r="AX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26"/>
      <c r="AV802" s="11"/>
      <c r="AW802" s="11"/>
      <c r="AX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26"/>
      <c r="AV803" s="11"/>
      <c r="AW803" s="11"/>
      <c r="AX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26"/>
      <c r="AV804" s="11"/>
      <c r="AW804" s="11"/>
      <c r="AX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26"/>
      <c r="AV805" s="11"/>
      <c r="AW805" s="11"/>
      <c r="AX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26"/>
      <c r="AV806" s="11"/>
      <c r="AW806" s="11"/>
      <c r="AX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26"/>
      <c r="AV807" s="11"/>
      <c r="AW807" s="11"/>
      <c r="AX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26"/>
      <c r="AV808" s="11"/>
      <c r="AW808" s="11"/>
      <c r="AX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26"/>
      <c r="AV809" s="11"/>
      <c r="AW809" s="11"/>
      <c r="AX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26"/>
      <c r="AV810" s="11"/>
      <c r="AW810" s="11"/>
      <c r="AX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26"/>
      <c r="AV811" s="11"/>
      <c r="AW811" s="11"/>
      <c r="AX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26"/>
      <c r="AV812" s="11"/>
      <c r="AW812" s="11"/>
      <c r="AX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26"/>
      <c r="AV813" s="11"/>
      <c r="AW813" s="11"/>
      <c r="AX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26"/>
      <c r="AV814" s="11"/>
      <c r="AW814" s="11"/>
      <c r="AX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26"/>
      <c r="AV815" s="11"/>
      <c r="AW815" s="11"/>
      <c r="AX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26"/>
      <c r="AV816" s="11"/>
      <c r="AW816" s="11"/>
      <c r="AX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26"/>
      <c r="AV817" s="11"/>
      <c r="AW817" s="11"/>
      <c r="AX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26"/>
      <c r="AV818" s="11"/>
      <c r="AW818" s="11"/>
      <c r="AX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26"/>
      <c r="AV819" s="11"/>
      <c r="AW819" s="11"/>
      <c r="AX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26"/>
      <c r="AV820" s="11"/>
      <c r="AW820" s="11"/>
      <c r="AX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26"/>
      <c r="AV821" s="11"/>
      <c r="AW821" s="11"/>
      <c r="AX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26"/>
      <c r="AV822" s="11"/>
      <c r="AW822" s="11"/>
      <c r="AX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26"/>
      <c r="AV823" s="11"/>
      <c r="AW823" s="11"/>
      <c r="AX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26"/>
      <c r="AV824" s="11"/>
      <c r="AW824" s="11"/>
      <c r="AX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26"/>
      <c r="AV825" s="11"/>
      <c r="AW825" s="11"/>
      <c r="AX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26"/>
      <c r="AV826" s="11"/>
      <c r="AW826" s="11"/>
      <c r="AX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26"/>
      <c r="AV827" s="11"/>
      <c r="AW827" s="11"/>
      <c r="AX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26"/>
      <c r="AV828" s="11"/>
      <c r="AW828" s="11"/>
      <c r="AX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26"/>
      <c r="AV829" s="11"/>
      <c r="AW829" s="11"/>
      <c r="AX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26"/>
      <c r="AV830" s="11"/>
      <c r="AW830" s="11"/>
      <c r="AX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26"/>
      <c r="AV831" s="11"/>
      <c r="AW831" s="11"/>
      <c r="AX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26"/>
      <c r="AV832" s="11"/>
      <c r="AW832" s="11"/>
      <c r="AX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26"/>
      <c r="AV833" s="11"/>
      <c r="AW833" s="11"/>
      <c r="AX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26"/>
      <c r="AV834" s="11"/>
      <c r="AW834" s="11"/>
      <c r="AX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26"/>
      <c r="AV835" s="11"/>
      <c r="AW835" s="11"/>
      <c r="AX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26"/>
      <c r="AV836" s="11"/>
      <c r="AW836" s="11"/>
      <c r="AX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26"/>
      <c r="AV837" s="11"/>
      <c r="AW837" s="11"/>
      <c r="AX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26"/>
      <c r="AV838" s="11"/>
      <c r="AW838" s="11"/>
      <c r="AX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26"/>
      <c r="AV839" s="11"/>
      <c r="AW839" s="11"/>
      <c r="AX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26"/>
      <c r="AV840" s="11"/>
      <c r="AW840" s="11"/>
      <c r="AX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26"/>
      <c r="AV841" s="11"/>
      <c r="AW841" s="11"/>
      <c r="AX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26"/>
      <c r="AV842" s="11"/>
      <c r="AW842" s="11"/>
      <c r="AX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26"/>
      <c r="AV843" s="11"/>
      <c r="AW843" s="11"/>
      <c r="AX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26"/>
      <c r="AV844" s="11"/>
      <c r="AW844" s="11"/>
      <c r="AX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26"/>
      <c r="AV845" s="11"/>
      <c r="AW845" s="11"/>
      <c r="AX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26"/>
      <c r="AV846" s="11"/>
      <c r="AW846" s="11"/>
      <c r="AX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26"/>
      <c r="AV847" s="11"/>
      <c r="AW847" s="11"/>
      <c r="AX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26"/>
      <c r="AV848" s="11"/>
      <c r="AW848" s="11"/>
      <c r="AX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26"/>
      <c r="AV849" s="11"/>
      <c r="AW849" s="11"/>
      <c r="AX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26"/>
      <c r="AV850" s="11"/>
      <c r="AW850" s="11"/>
      <c r="AX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26"/>
      <c r="AV851" s="11"/>
      <c r="AW851" s="11"/>
      <c r="AX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26"/>
      <c r="AV852" s="11"/>
      <c r="AW852" s="11"/>
      <c r="AX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26"/>
      <c r="AV853" s="11"/>
      <c r="AW853" s="11"/>
      <c r="AX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26"/>
      <c r="AV854" s="11"/>
      <c r="AW854" s="11"/>
      <c r="AX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26"/>
      <c r="AV855" s="11"/>
      <c r="AW855" s="11"/>
      <c r="AX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26"/>
      <c r="AV856" s="11"/>
      <c r="AW856" s="11"/>
      <c r="AX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26"/>
      <c r="AV857" s="11"/>
      <c r="AW857" s="11"/>
      <c r="AX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26"/>
      <c r="AV858" s="11"/>
      <c r="AW858" s="11"/>
      <c r="AX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26"/>
      <c r="AV859" s="11"/>
      <c r="AW859" s="11"/>
      <c r="AX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26"/>
      <c r="AV860" s="11"/>
      <c r="AW860" s="11"/>
      <c r="AX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26"/>
      <c r="AV861" s="11"/>
      <c r="AW861" s="11"/>
      <c r="AX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26"/>
      <c r="AV862" s="11"/>
      <c r="AW862" s="11"/>
      <c r="AX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26"/>
      <c r="AV863" s="11"/>
      <c r="AW863" s="11"/>
      <c r="AX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26"/>
      <c r="AV864" s="11"/>
      <c r="AW864" s="11"/>
      <c r="AX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26"/>
      <c r="AV865" s="11"/>
      <c r="AW865" s="11"/>
      <c r="AX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26"/>
      <c r="AV866" s="11"/>
      <c r="AW866" s="11"/>
      <c r="AX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26"/>
      <c r="AV867" s="11"/>
      <c r="AW867" s="11"/>
      <c r="AX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26"/>
      <c r="AV868" s="11"/>
      <c r="AW868" s="11"/>
      <c r="AX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26"/>
      <c r="AV869" s="11"/>
      <c r="AW869" s="11"/>
      <c r="AX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26"/>
      <c r="AV870" s="11"/>
      <c r="AW870" s="11"/>
      <c r="AX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26"/>
      <c r="AV871" s="11"/>
      <c r="AW871" s="11"/>
      <c r="AX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26"/>
      <c r="AV872" s="11"/>
      <c r="AW872" s="11"/>
      <c r="AX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26"/>
      <c r="AV873" s="11"/>
      <c r="AW873" s="11"/>
      <c r="AX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26"/>
      <c r="AV874" s="11"/>
      <c r="AW874" s="11"/>
      <c r="AX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26"/>
      <c r="AV875" s="11"/>
      <c r="AW875" s="11"/>
      <c r="AX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26"/>
      <c r="AV876" s="11"/>
      <c r="AW876" s="11"/>
      <c r="AX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26"/>
      <c r="AV877" s="11"/>
      <c r="AW877" s="11"/>
      <c r="AX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26"/>
      <c r="AV878" s="11"/>
      <c r="AW878" s="11"/>
      <c r="AX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26"/>
      <c r="AV879" s="11"/>
      <c r="AW879" s="11"/>
      <c r="AX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26"/>
      <c r="AV880" s="11"/>
      <c r="AW880" s="11"/>
      <c r="AX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26"/>
      <c r="AV881" s="11"/>
      <c r="AW881" s="11"/>
      <c r="AX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26"/>
      <c r="AV882" s="11"/>
      <c r="AW882" s="11"/>
      <c r="AX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26"/>
      <c r="AV883" s="11"/>
      <c r="AW883" s="11"/>
      <c r="AX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26"/>
      <c r="AV884" s="11"/>
      <c r="AW884" s="11"/>
      <c r="AX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26"/>
      <c r="AV885" s="11"/>
      <c r="AW885" s="11"/>
      <c r="AX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26"/>
      <c r="AV886" s="11"/>
      <c r="AW886" s="11"/>
      <c r="AX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26"/>
      <c r="AV887" s="11"/>
      <c r="AW887" s="11"/>
      <c r="AX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26"/>
      <c r="AV888" s="11"/>
      <c r="AW888" s="11"/>
      <c r="AX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26"/>
      <c r="AV889" s="11"/>
      <c r="AW889" s="11"/>
      <c r="AX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26"/>
      <c r="AV890" s="11"/>
      <c r="AW890" s="11"/>
      <c r="AX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26"/>
      <c r="AV891" s="11"/>
      <c r="AW891" s="11"/>
      <c r="AX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26"/>
      <c r="AV892" s="11"/>
      <c r="AW892" s="11"/>
      <c r="AX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26"/>
      <c r="AV893" s="11"/>
      <c r="AW893" s="11"/>
      <c r="AX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26"/>
      <c r="AV894" s="11"/>
      <c r="AW894" s="11"/>
      <c r="AX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26"/>
      <c r="AV895" s="11"/>
      <c r="AW895" s="11"/>
      <c r="AX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26"/>
      <c r="AV896" s="11"/>
      <c r="AW896" s="11"/>
      <c r="AX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26"/>
      <c r="AV897" s="11"/>
      <c r="AW897" s="11"/>
      <c r="AX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26"/>
      <c r="AV898" s="11"/>
      <c r="AW898" s="11"/>
      <c r="AX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26"/>
      <c r="AV899" s="11"/>
      <c r="AW899" s="11"/>
      <c r="AX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26"/>
      <c r="AV900" s="11"/>
      <c r="AW900" s="11"/>
      <c r="AX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26"/>
      <c r="AV901" s="11"/>
      <c r="AW901" s="11"/>
      <c r="AX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26"/>
      <c r="AV902" s="11"/>
      <c r="AW902" s="11"/>
      <c r="AX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26"/>
      <c r="AV903" s="11"/>
      <c r="AW903" s="11"/>
      <c r="AX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26"/>
      <c r="AV904" s="11"/>
      <c r="AW904" s="11"/>
      <c r="AX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26"/>
      <c r="AV905" s="11"/>
      <c r="AW905" s="11"/>
      <c r="AX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26"/>
      <c r="AV906" s="11"/>
      <c r="AW906" s="11"/>
      <c r="AX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26"/>
      <c r="AV907" s="11"/>
      <c r="AW907" s="11"/>
      <c r="AX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26"/>
      <c r="AV908" s="11"/>
      <c r="AW908" s="11"/>
      <c r="AX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26"/>
      <c r="AV909" s="11"/>
      <c r="AW909" s="11"/>
      <c r="AX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26"/>
      <c r="AV910" s="11"/>
      <c r="AW910" s="11"/>
      <c r="AX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26"/>
      <c r="AV911" s="11"/>
      <c r="AW911" s="11"/>
      <c r="AX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26"/>
      <c r="AV912" s="11"/>
      <c r="AW912" s="11"/>
      <c r="AX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26"/>
      <c r="AV913" s="11"/>
      <c r="AW913" s="11"/>
      <c r="AX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26"/>
      <c r="AV914" s="11"/>
      <c r="AW914" s="11"/>
      <c r="AX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26"/>
      <c r="AV915" s="11"/>
      <c r="AW915" s="11"/>
      <c r="AX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26"/>
      <c r="AV916" s="11"/>
      <c r="AW916" s="11"/>
      <c r="AX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26"/>
      <c r="AV917" s="11"/>
      <c r="AW917" s="11"/>
      <c r="AX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26"/>
      <c r="AV918" s="11"/>
      <c r="AW918" s="11"/>
      <c r="AX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26"/>
      <c r="AV919" s="11"/>
      <c r="AW919" s="11"/>
      <c r="AX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26"/>
      <c r="AV920" s="11"/>
      <c r="AW920" s="11"/>
      <c r="AX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26"/>
      <c r="AV921" s="11"/>
      <c r="AW921" s="11"/>
      <c r="AX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26"/>
      <c r="AV922" s="11"/>
      <c r="AW922" s="11"/>
      <c r="AX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26"/>
      <c r="AV923" s="11"/>
      <c r="AW923" s="11"/>
      <c r="AX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26"/>
      <c r="AV924" s="11"/>
      <c r="AW924" s="11"/>
      <c r="AX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26"/>
      <c r="AV925" s="11"/>
      <c r="AW925" s="11"/>
      <c r="AX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26"/>
      <c r="AV926" s="11"/>
      <c r="AW926" s="11"/>
      <c r="AX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26"/>
      <c r="AV927" s="11"/>
      <c r="AW927" s="11"/>
      <c r="AX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26"/>
      <c r="AV928" s="11"/>
      <c r="AW928" s="11"/>
      <c r="AX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26"/>
      <c r="AV929" s="11"/>
      <c r="AW929" s="11"/>
      <c r="AX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26"/>
      <c r="AV930" s="11"/>
      <c r="AW930" s="11"/>
      <c r="AX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26"/>
      <c r="AV931" s="11"/>
      <c r="AW931" s="11"/>
      <c r="AX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26"/>
      <c r="AV932" s="11"/>
      <c r="AW932" s="11"/>
      <c r="AX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26"/>
      <c r="AV933" s="11"/>
      <c r="AW933" s="11"/>
      <c r="AX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26"/>
      <c r="AV934" s="11"/>
      <c r="AW934" s="11"/>
      <c r="AX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26"/>
      <c r="AV935" s="11"/>
      <c r="AW935" s="11"/>
      <c r="AX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26"/>
      <c r="AV936" s="11"/>
      <c r="AW936" s="11"/>
      <c r="AX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26"/>
      <c r="AV937" s="11"/>
      <c r="AW937" s="11"/>
      <c r="AX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26"/>
      <c r="AV938" s="11"/>
      <c r="AW938" s="11"/>
      <c r="AX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26"/>
      <c r="AV939" s="11"/>
      <c r="AW939" s="11"/>
      <c r="AX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26"/>
      <c r="AV940" s="11"/>
      <c r="AW940" s="11"/>
      <c r="AX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26"/>
      <c r="AV941" s="11"/>
      <c r="AW941" s="11"/>
      <c r="AX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26"/>
      <c r="AV942" s="11"/>
      <c r="AW942" s="11"/>
      <c r="AX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26"/>
      <c r="AV943" s="11"/>
      <c r="AW943" s="11"/>
      <c r="AX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26"/>
      <c r="AV944" s="11"/>
      <c r="AW944" s="11"/>
      <c r="AX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26"/>
      <c r="AV945" s="11"/>
      <c r="AW945" s="11"/>
      <c r="AX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26"/>
      <c r="AV946" s="11"/>
      <c r="AW946" s="11"/>
      <c r="AX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26"/>
      <c r="AV947" s="11"/>
      <c r="AW947" s="11"/>
      <c r="AX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26"/>
      <c r="AV948" s="11"/>
      <c r="AW948" s="11"/>
      <c r="AX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26"/>
      <c r="AV949" s="11"/>
      <c r="AW949" s="11"/>
      <c r="AX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26"/>
      <c r="AV950" s="11"/>
      <c r="AW950" s="11"/>
      <c r="AX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26"/>
      <c r="AV951" s="11"/>
      <c r="AW951" s="11"/>
      <c r="AX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26"/>
      <c r="AV952" s="11"/>
      <c r="AW952" s="11"/>
      <c r="AX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26"/>
      <c r="AV953" s="11"/>
      <c r="AW953" s="11"/>
      <c r="AX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26"/>
      <c r="AV954" s="11"/>
      <c r="AW954" s="11"/>
      <c r="AX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26"/>
      <c r="AV955" s="11"/>
      <c r="AW955" s="11"/>
      <c r="AX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26"/>
      <c r="AV956" s="11"/>
      <c r="AW956" s="11"/>
      <c r="AX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26"/>
      <c r="AV957" s="11"/>
      <c r="AW957" s="11"/>
      <c r="AX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26"/>
      <c r="AV958" s="11"/>
      <c r="AW958" s="11"/>
      <c r="AX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26"/>
      <c r="AV959" s="11"/>
      <c r="AW959" s="11"/>
      <c r="AX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26"/>
      <c r="AV960" s="11"/>
      <c r="AW960" s="11"/>
      <c r="AX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26"/>
      <c r="AV961" s="11"/>
      <c r="AW961" s="11"/>
      <c r="AX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26"/>
      <c r="AV962" s="11"/>
      <c r="AW962" s="11"/>
      <c r="AX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26"/>
      <c r="AV963" s="11"/>
      <c r="AW963" s="11"/>
      <c r="AX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26"/>
      <c r="AV964" s="11"/>
      <c r="AW964" s="11"/>
      <c r="AX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26"/>
      <c r="AV965" s="11"/>
      <c r="AW965" s="11"/>
      <c r="AX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26"/>
      <c r="AV966" s="11"/>
      <c r="AW966" s="11"/>
      <c r="AX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26"/>
      <c r="AV967" s="11"/>
      <c r="AW967" s="11"/>
      <c r="AX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26"/>
      <c r="AV968" s="11"/>
      <c r="AW968" s="11"/>
      <c r="AX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26"/>
      <c r="AV969" s="11"/>
      <c r="AW969" s="11"/>
      <c r="AX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26"/>
      <c r="AV970" s="11"/>
      <c r="AW970" s="11"/>
      <c r="AX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26"/>
      <c r="AV971" s="11"/>
      <c r="AW971" s="11"/>
      <c r="AX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26"/>
      <c r="AV972" s="11"/>
      <c r="AW972" s="11"/>
      <c r="AX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26"/>
      <c r="AV973" s="11"/>
      <c r="AW973" s="11"/>
      <c r="AX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26"/>
      <c r="AV974" s="11"/>
      <c r="AW974" s="11"/>
      <c r="AX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26"/>
      <c r="AV975" s="11"/>
      <c r="AW975" s="11"/>
      <c r="AX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26"/>
      <c r="AV976" s="11"/>
      <c r="AW976" s="11"/>
      <c r="AX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26"/>
      <c r="AV977" s="11"/>
      <c r="AW977" s="11"/>
      <c r="AX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26"/>
      <c r="AV978" s="11"/>
      <c r="AW978" s="11"/>
      <c r="AX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26"/>
      <c r="AV979" s="11"/>
      <c r="AW979" s="11"/>
      <c r="AX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26"/>
      <c r="AV980" s="11"/>
      <c r="AW980" s="11"/>
      <c r="AX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26"/>
      <c r="AV981" s="11"/>
      <c r="AW981" s="11"/>
      <c r="AX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26"/>
      <c r="AV982" s="11"/>
      <c r="AW982" s="11"/>
      <c r="AX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26"/>
      <c r="AV983" s="11"/>
      <c r="AW983" s="11"/>
      <c r="AX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26"/>
      <c r="AV984" s="11"/>
      <c r="AW984" s="11"/>
      <c r="AX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26"/>
      <c r="AV985" s="11"/>
      <c r="AW985" s="11"/>
      <c r="AX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26"/>
      <c r="AV986" s="11"/>
      <c r="AW986" s="11"/>
      <c r="AX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26"/>
      <c r="AV987" s="11"/>
      <c r="AW987" s="11"/>
      <c r="AX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26"/>
      <c r="AV988" s="11"/>
      <c r="AW988" s="11"/>
      <c r="AX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26"/>
      <c r="AV989" s="11"/>
      <c r="AW989" s="11"/>
      <c r="AX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26"/>
      <c r="AV990" s="11"/>
      <c r="AW990" s="11"/>
      <c r="AX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26"/>
      <c r="AV991" s="11"/>
      <c r="AW991" s="11"/>
      <c r="AX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26"/>
      <c r="AV992" s="11"/>
      <c r="AW992" s="11"/>
      <c r="AX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26"/>
      <c r="AV993" s="11"/>
      <c r="AW993" s="11"/>
      <c r="AX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26"/>
      <c r="AV994" s="11"/>
      <c r="AW994" s="11"/>
      <c r="AX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26"/>
      <c r="AV995" s="11"/>
      <c r="AW995" s="11"/>
      <c r="AX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26"/>
      <c r="AV996" s="11"/>
      <c r="AW996" s="11"/>
      <c r="AX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26"/>
      <c r="AV997" s="11"/>
      <c r="AW997" s="11"/>
      <c r="AX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26"/>
      <c r="AV998" s="11"/>
      <c r="AW998" s="11"/>
      <c r="AX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26"/>
      <c r="AV999" s="11"/>
      <c r="AW999" s="11"/>
      <c r="AX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26"/>
      <c r="AV1000" s="11"/>
      <c r="AW1000" s="11"/>
      <c r="AX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26"/>
      <c r="AV1001" s="11"/>
      <c r="AW1001" s="11"/>
      <c r="AX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26"/>
      <c r="AV1002" s="11"/>
      <c r="AW1002" s="11"/>
      <c r="AX1002" s="11"/>
    </row>
  </sheetData>
  <mergeCells count="31">
    <mergeCell ref="AA2:AB2"/>
    <mergeCell ref="AC2:AD2"/>
    <mergeCell ref="AE2:AF2"/>
    <mergeCell ref="AG2:AH2"/>
    <mergeCell ref="AI2:AJ2"/>
    <mergeCell ref="AK2:AL2"/>
    <mergeCell ref="AM2:AN2"/>
    <mergeCell ref="AO2:AP2"/>
    <mergeCell ref="A1:A3"/>
    <mergeCell ref="B1:B3"/>
    <mergeCell ref="C1:I1"/>
    <mergeCell ref="K1:V1"/>
    <mergeCell ref="W1:AD1"/>
    <mergeCell ref="AE1:AP1"/>
    <mergeCell ref="AQ1:AQ3"/>
    <mergeCell ref="AR1:AR3"/>
    <mergeCell ref="AS1:AS3"/>
    <mergeCell ref="AT1:AT3"/>
    <mergeCell ref="AU1:AU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0"/>
    <col customWidth="1" min="2" max="2" width="19.88"/>
    <col customWidth="1" min="3" max="3" width="19.75"/>
    <col customWidth="1" min="4" max="4" width="18.88"/>
    <col customWidth="1" min="5" max="5" width="23.63"/>
    <col customWidth="1" min="6" max="6" width="13.25"/>
    <col customWidth="1" min="7" max="7" width="17.25"/>
    <col customWidth="1" min="8" max="8" width="20.25"/>
    <col customWidth="1" min="9" max="9" width="22.0"/>
    <col customWidth="1" min="10" max="10" width="15.38"/>
    <col customWidth="1" min="11" max="11" width="11.75"/>
    <col customWidth="1" min="12" max="12" width="24.75"/>
    <col customWidth="1" min="13" max="13" width="15.25"/>
    <col customWidth="1" min="14" max="14" width="19.0"/>
    <col customWidth="1" min="15" max="15" width="12.88"/>
    <col customWidth="1" min="16" max="16" width="15.88"/>
    <col customWidth="1" min="17" max="17" width="13.5"/>
    <col customWidth="1" min="18" max="18" width="14.25"/>
    <col customWidth="1" min="19" max="19" width="14.63"/>
    <col customWidth="1" min="20" max="20" width="14.25"/>
    <col customWidth="1" min="21" max="21" width="14.88"/>
    <col customWidth="1" min="22" max="22" width="31.0"/>
    <col customWidth="1" min="23" max="23" width="19.25"/>
  </cols>
  <sheetData>
    <row r="1">
      <c r="A1" s="27" t="s">
        <v>0</v>
      </c>
      <c r="B1" s="27" t="s">
        <v>1</v>
      </c>
      <c r="C1" s="28" t="s">
        <v>2</v>
      </c>
      <c r="G1" s="29" t="s">
        <v>3</v>
      </c>
      <c r="M1" s="30" t="s">
        <v>4</v>
      </c>
      <c r="Q1" s="31" t="s">
        <v>5</v>
      </c>
      <c r="W1" s="32" t="s">
        <v>8</v>
      </c>
      <c r="X1" s="11"/>
      <c r="Y1" s="11"/>
      <c r="Z1" s="11"/>
      <c r="AA1" s="11"/>
      <c r="AB1" s="11"/>
    </row>
    <row r="2">
      <c r="C2" s="28" t="s">
        <v>11</v>
      </c>
      <c r="D2" s="28" t="s">
        <v>12</v>
      </c>
      <c r="E2" s="28" t="s">
        <v>13</v>
      </c>
      <c r="F2" s="28" t="s">
        <v>14</v>
      </c>
      <c r="G2" s="29" t="s">
        <v>15</v>
      </c>
      <c r="H2" s="29" t="s">
        <v>16</v>
      </c>
      <c r="I2" s="29" t="s">
        <v>17</v>
      </c>
      <c r="J2" s="29" t="s">
        <v>18</v>
      </c>
      <c r="K2" s="29" t="s">
        <v>19</v>
      </c>
      <c r="L2" s="29" t="s">
        <v>45</v>
      </c>
      <c r="M2" s="30" t="s">
        <v>21</v>
      </c>
      <c r="N2" s="30" t="s">
        <v>22</v>
      </c>
      <c r="O2" s="30" t="s">
        <v>23</v>
      </c>
      <c r="P2" s="30" t="s">
        <v>24</v>
      </c>
      <c r="Q2" s="31" t="s">
        <v>25</v>
      </c>
      <c r="R2" s="31" t="s">
        <v>26</v>
      </c>
      <c r="S2" s="31" t="s">
        <v>27</v>
      </c>
      <c r="T2" s="31" t="s">
        <v>28</v>
      </c>
      <c r="U2" s="31" t="s">
        <v>29</v>
      </c>
      <c r="V2" s="31" t="s">
        <v>46</v>
      </c>
      <c r="X2" s="11"/>
      <c r="Y2" s="11"/>
      <c r="Z2" s="11"/>
      <c r="AA2" s="11"/>
      <c r="AB2" s="11"/>
    </row>
    <row r="3">
      <c r="C3" s="33">
        <v>46143.0</v>
      </c>
      <c r="D3" s="33">
        <v>46143.0</v>
      </c>
      <c r="E3" s="33">
        <v>46143.0</v>
      </c>
      <c r="F3" s="33">
        <v>46143.0</v>
      </c>
      <c r="G3" s="34">
        <v>46143.0</v>
      </c>
      <c r="H3" s="34">
        <v>46143.0</v>
      </c>
      <c r="I3" s="34">
        <v>46143.0</v>
      </c>
      <c r="J3" s="34">
        <v>46143.0</v>
      </c>
      <c r="K3" s="34">
        <v>46143.0</v>
      </c>
      <c r="L3" s="34">
        <v>46143.0</v>
      </c>
      <c r="M3" s="35">
        <v>46143.0</v>
      </c>
      <c r="N3" s="35">
        <v>46143.0</v>
      </c>
      <c r="O3" s="35">
        <v>46143.0</v>
      </c>
      <c r="P3" s="35">
        <v>46143.0</v>
      </c>
      <c r="Q3" s="36">
        <v>46143.0</v>
      </c>
      <c r="R3" s="36">
        <v>46143.0</v>
      </c>
      <c r="S3" s="36">
        <v>46143.0</v>
      </c>
      <c r="T3" s="36">
        <v>46143.0</v>
      </c>
      <c r="U3" s="36">
        <v>46143.0</v>
      </c>
      <c r="V3" s="36">
        <v>46143.0</v>
      </c>
      <c r="X3" s="11"/>
      <c r="Y3" s="11"/>
      <c r="Z3" s="11"/>
      <c r="AA3" s="11"/>
      <c r="AB3" s="11"/>
    </row>
    <row r="4" ht="22.5" customHeight="1">
      <c r="A4" s="37">
        <v>1.0</v>
      </c>
      <c r="B4" s="38" t="s">
        <v>31</v>
      </c>
      <c r="C4" s="39">
        <v>5.0</v>
      </c>
      <c r="D4" s="39">
        <v>5.0</v>
      </c>
      <c r="E4" s="39">
        <v>5.0</v>
      </c>
      <c r="F4" s="39">
        <v>5.0</v>
      </c>
      <c r="G4" s="40">
        <v>5.0</v>
      </c>
      <c r="H4" s="40">
        <v>5.0</v>
      </c>
      <c r="I4" s="40">
        <v>5.0</v>
      </c>
      <c r="J4" s="40">
        <v>5.0</v>
      </c>
      <c r="K4" s="40">
        <v>4.0</v>
      </c>
      <c r="L4" s="40">
        <v>5.0</v>
      </c>
      <c r="M4" s="41">
        <v>5.0</v>
      </c>
      <c r="N4" s="41">
        <v>4.0</v>
      </c>
      <c r="O4" s="41">
        <v>5.0</v>
      </c>
      <c r="P4" s="41">
        <v>4.0</v>
      </c>
      <c r="Q4" s="42">
        <v>5.0</v>
      </c>
      <c r="R4" s="42">
        <v>5.0</v>
      </c>
      <c r="S4" s="42">
        <v>5.0</v>
      </c>
      <c r="T4" s="42">
        <v>5.0</v>
      </c>
      <c r="U4" s="42">
        <v>5.0</v>
      </c>
      <c r="V4" s="42">
        <v>5.0</v>
      </c>
      <c r="W4" s="32">
        <f t="shared" ref="W4:W10" si="1">sum(C4:V4)</f>
        <v>97</v>
      </c>
      <c r="X4" s="11"/>
      <c r="Y4" s="11"/>
      <c r="Z4" s="11"/>
      <c r="AA4" s="11"/>
      <c r="AB4" s="11"/>
    </row>
    <row r="5" ht="22.5" customHeight="1">
      <c r="A5" s="37">
        <v>2.0</v>
      </c>
      <c r="B5" s="38" t="s">
        <v>33</v>
      </c>
      <c r="C5" s="39">
        <v>4.0</v>
      </c>
      <c r="D5" s="39">
        <v>4.0</v>
      </c>
      <c r="E5" s="39">
        <v>4.0</v>
      </c>
      <c r="F5" s="39">
        <v>4.0</v>
      </c>
      <c r="G5" s="40">
        <v>4.0</v>
      </c>
      <c r="H5" s="40">
        <v>5.0</v>
      </c>
      <c r="I5" s="40">
        <v>5.0</v>
      </c>
      <c r="J5" s="40">
        <v>4.0</v>
      </c>
      <c r="K5" s="40">
        <v>3.0</v>
      </c>
      <c r="L5" s="40">
        <v>5.0</v>
      </c>
      <c r="M5" s="41">
        <v>4.0</v>
      </c>
      <c r="N5" s="41">
        <v>4.0</v>
      </c>
      <c r="O5" s="41">
        <v>3.0</v>
      </c>
      <c r="P5" s="41">
        <v>3.0</v>
      </c>
      <c r="Q5" s="42">
        <v>5.0</v>
      </c>
      <c r="R5" s="42">
        <v>5.0</v>
      </c>
      <c r="S5" s="42">
        <v>5.0</v>
      </c>
      <c r="T5" s="42">
        <v>5.0</v>
      </c>
      <c r="U5" s="42">
        <v>5.0</v>
      </c>
      <c r="V5" s="42">
        <v>5.0</v>
      </c>
      <c r="W5" s="32">
        <f t="shared" si="1"/>
        <v>86</v>
      </c>
      <c r="X5" s="11"/>
      <c r="Y5" s="11"/>
      <c r="Z5" s="11"/>
      <c r="AA5" s="11"/>
      <c r="AB5" s="11"/>
    </row>
    <row r="6" ht="22.5" customHeight="1">
      <c r="A6" s="37">
        <v>3.0</v>
      </c>
      <c r="B6" s="38" t="s">
        <v>35</v>
      </c>
      <c r="C6" s="39">
        <v>4.0</v>
      </c>
      <c r="D6" s="39">
        <v>2.0</v>
      </c>
      <c r="E6" s="39">
        <v>3.0</v>
      </c>
      <c r="F6" s="39">
        <v>3.0</v>
      </c>
      <c r="G6" s="40">
        <v>4.0</v>
      </c>
      <c r="H6" s="40">
        <v>4.0</v>
      </c>
      <c r="I6" s="40">
        <v>3.0</v>
      </c>
      <c r="J6" s="40">
        <v>4.0</v>
      </c>
      <c r="K6" s="40">
        <v>4.0</v>
      </c>
      <c r="L6" s="40">
        <v>3.0</v>
      </c>
      <c r="M6" s="41">
        <v>4.0</v>
      </c>
      <c r="N6" s="41">
        <v>3.0</v>
      </c>
      <c r="O6" s="41">
        <v>4.0</v>
      </c>
      <c r="P6" s="41">
        <v>3.0</v>
      </c>
      <c r="Q6" s="42">
        <v>5.0</v>
      </c>
      <c r="R6" s="42">
        <v>5.0</v>
      </c>
      <c r="S6" s="42">
        <v>5.0</v>
      </c>
      <c r="T6" s="42">
        <v>5.0</v>
      </c>
      <c r="U6" s="42">
        <v>5.0</v>
      </c>
      <c r="V6" s="42">
        <v>5.0</v>
      </c>
      <c r="W6" s="32">
        <f t="shared" si="1"/>
        <v>78</v>
      </c>
      <c r="X6" s="11"/>
      <c r="Y6" s="11"/>
      <c r="Z6" s="11"/>
      <c r="AA6" s="11"/>
      <c r="AB6" s="11"/>
    </row>
    <row r="7" ht="22.5" customHeight="1">
      <c r="A7" s="37">
        <v>4.0</v>
      </c>
      <c r="B7" s="38" t="s">
        <v>37</v>
      </c>
      <c r="C7" s="39">
        <v>5.0</v>
      </c>
      <c r="D7" s="39">
        <v>4.0</v>
      </c>
      <c r="E7" s="39">
        <v>4.0</v>
      </c>
      <c r="F7" s="39">
        <v>5.0</v>
      </c>
      <c r="G7" s="40">
        <v>5.0</v>
      </c>
      <c r="H7" s="40">
        <v>5.0</v>
      </c>
      <c r="I7" s="40">
        <v>4.0</v>
      </c>
      <c r="J7" s="40">
        <v>5.0</v>
      </c>
      <c r="K7" s="40">
        <v>4.0</v>
      </c>
      <c r="L7" s="40">
        <v>5.0</v>
      </c>
      <c r="M7" s="41">
        <v>5.0</v>
      </c>
      <c r="N7" s="41">
        <v>4.0</v>
      </c>
      <c r="O7" s="41">
        <v>4.0</v>
      </c>
      <c r="P7" s="41">
        <v>4.0</v>
      </c>
      <c r="Q7" s="42">
        <v>5.0</v>
      </c>
      <c r="R7" s="42">
        <v>5.0</v>
      </c>
      <c r="S7" s="42">
        <v>5.0</v>
      </c>
      <c r="T7" s="42">
        <v>5.0</v>
      </c>
      <c r="U7" s="42">
        <v>5.0</v>
      </c>
      <c r="V7" s="42">
        <v>5.0</v>
      </c>
      <c r="W7" s="32">
        <f t="shared" si="1"/>
        <v>93</v>
      </c>
      <c r="X7" s="11"/>
      <c r="Y7" s="11"/>
      <c r="Z7" s="11"/>
      <c r="AA7" s="11"/>
      <c r="AB7" s="11"/>
    </row>
    <row r="8" ht="22.5" customHeight="1">
      <c r="A8" s="37">
        <v>5.0</v>
      </c>
      <c r="B8" s="38" t="s">
        <v>39</v>
      </c>
      <c r="C8" s="39">
        <v>3.0</v>
      </c>
      <c r="D8" s="39">
        <v>3.0</v>
      </c>
      <c r="E8" s="39">
        <v>4.0</v>
      </c>
      <c r="F8" s="39">
        <v>2.0</v>
      </c>
      <c r="G8" s="40">
        <v>3.0</v>
      </c>
      <c r="H8" s="40">
        <v>2.0</v>
      </c>
      <c r="I8" s="40">
        <v>3.0</v>
      </c>
      <c r="J8" s="40">
        <v>3.0</v>
      </c>
      <c r="K8" s="40">
        <v>3.0</v>
      </c>
      <c r="L8" s="40">
        <v>2.0</v>
      </c>
      <c r="M8" s="41">
        <v>3.0</v>
      </c>
      <c r="N8" s="41">
        <v>3.0</v>
      </c>
      <c r="O8" s="41">
        <v>4.0</v>
      </c>
      <c r="P8" s="41">
        <v>3.0</v>
      </c>
      <c r="Q8" s="42">
        <v>5.0</v>
      </c>
      <c r="R8" s="42">
        <v>5.0</v>
      </c>
      <c r="S8" s="42">
        <v>5.0</v>
      </c>
      <c r="T8" s="42">
        <v>5.0</v>
      </c>
      <c r="U8" s="42">
        <v>5.0</v>
      </c>
      <c r="V8" s="42">
        <v>5.0</v>
      </c>
      <c r="W8" s="32">
        <f t="shared" si="1"/>
        <v>71</v>
      </c>
      <c r="X8" s="11"/>
      <c r="Y8" s="11"/>
      <c r="Z8" s="11"/>
      <c r="AA8" s="11"/>
      <c r="AB8" s="11"/>
    </row>
    <row r="9" ht="22.5" customHeight="1">
      <c r="A9" s="37">
        <v>6.0</v>
      </c>
      <c r="B9" s="38" t="s">
        <v>41</v>
      </c>
      <c r="C9" s="39">
        <v>4.0</v>
      </c>
      <c r="D9" s="39">
        <v>3.0</v>
      </c>
      <c r="E9" s="39">
        <v>3.0</v>
      </c>
      <c r="F9" s="39">
        <v>3.0</v>
      </c>
      <c r="G9" s="40">
        <v>3.0</v>
      </c>
      <c r="H9" s="40">
        <v>4.0</v>
      </c>
      <c r="I9" s="40">
        <v>4.0</v>
      </c>
      <c r="J9" s="40">
        <v>4.0</v>
      </c>
      <c r="K9" s="40">
        <v>4.0</v>
      </c>
      <c r="L9" s="40">
        <v>3.0</v>
      </c>
      <c r="M9" s="41">
        <v>5.0</v>
      </c>
      <c r="N9" s="41">
        <v>4.0</v>
      </c>
      <c r="O9" s="41">
        <v>4.0</v>
      </c>
      <c r="P9" s="41">
        <v>4.0</v>
      </c>
      <c r="Q9" s="42">
        <v>5.0</v>
      </c>
      <c r="R9" s="42">
        <v>5.0</v>
      </c>
      <c r="S9" s="42">
        <v>5.0</v>
      </c>
      <c r="T9" s="42">
        <v>5.0</v>
      </c>
      <c r="U9" s="42">
        <v>5.0</v>
      </c>
      <c r="V9" s="42">
        <v>5.0</v>
      </c>
      <c r="W9" s="32">
        <f t="shared" si="1"/>
        <v>82</v>
      </c>
      <c r="X9" s="11"/>
      <c r="Y9" s="11"/>
      <c r="Z9" s="11"/>
      <c r="AA9" s="11"/>
      <c r="AB9" s="11"/>
    </row>
    <row r="10" ht="22.5" customHeight="1">
      <c r="A10" s="37">
        <v>7.0</v>
      </c>
      <c r="B10" s="38" t="s">
        <v>43</v>
      </c>
      <c r="C10" s="39">
        <v>4.0</v>
      </c>
      <c r="D10" s="39">
        <v>4.0</v>
      </c>
      <c r="E10" s="39">
        <v>4.0</v>
      </c>
      <c r="F10" s="39">
        <v>4.0</v>
      </c>
      <c r="G10" s="40">
        <v>4.0</v>
      </c>
      <c r="H10" s="40">
        <v>4.0</v>
      </c>
      <c r="I10" s="40">
        <v>5.0</v>
      </c>
      <c r="J10" s="40">
        <v>4.0</v>
      </c>
      <c r="K10" s="40">
        <v>4.0</v>
      </c>
      <c r="L10" s="40">
        <v>4.0</v>
      </c>
      <c r="M10" s="41">
        <v>4.0</v>
      </c>
      <c r="N10" s="41">
        <v>5.0</v>
      </c>
      <c r="O10" s="41">
        <v>4.0</v>
      </c>
      <c r="P10" s="41">
        <v>4.0</v>
      </c>
      <c r="Q10" s="42">
        <v>5.0</v>
      </c>
      <c r="R10" s="42">
        <v>5.0</v>
      </c>
      <c r="S10" s="42">
        <v>5.0</v>
      </c>
      <c r="T10" s="42">
        <v>5.0</v>
      </c>
      <c r="U10" s="42">
        <v>5.0</v>
      </c>
      <c r="V10" s="42">
        <v>5.0</v>
      </c>
      <c r="W10" s="32">
        <f t="shared" si="1"/>
        <v>88</v>
      </c>
      <c r="X10" s="11"/>
      <c r="Y10" s="11"/>
      <c r="Z10" s="11"/>
      <c r="AA10" s="11"/>
      <c r="AB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</sheetData>
  <mergeCells count="7">
    <mergeCell ref="A1:A3"/>
    <mergeCell ref="B1:B3"/>
    <mergeCell ref="C1:F1"/>
    <mergeCell ref="G1:L1"/>
    <mergeCell ref="M1:P1"/>
    <mergeCell ref="Q1:V1"/>
    <mergeCell ref="W1:W3"/>
  </mergeCells>
  <drawing r:id="rId1"/>
</worksheet>
</file>